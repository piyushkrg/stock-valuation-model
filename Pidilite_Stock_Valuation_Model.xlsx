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stock valuatioin model\"/>
    </mc:Choice>
  </mc:AlternateContent>
  <xr:revisionPtr revIDLastSave="0" documentId="13_ncr:1_{4DC1E965-E9C5-4C63-BB38-928114C4B7A5}" xr6:coauthVersionLast="47" xr6:coauthVersionMax="47" xr10:uidLastSave="{00000000-0000-0000-0000-000000000000}"/>
  <bookViews>
    <workbookView xWindow="-110" yWindow="-110" windowWidth="19420" windowHeight="10300" xr2:uid="{66F55DBC-AC4A-4A3B-94F5-72EBBB4B874A}"/>
  </bookViews>
  <sheets>
    <sheet name="Inputs" sheetId="1" r:id="rId1"/>
    <sheet name="Historicals" sheetId="2" r:id="rId2"/>
    <sheet name="Forecast" sheetId="3" r:id="rId3"/>
    <sheet name="DCF" sheetId="4" r:id="rId4"/>
    <sheet name="Comps" sheetId="5" r:id="rId5"/>
    <sheet name="Output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7" i="1" l="1"/>
  <c r="B14" i="1"/>
  <c r="B16" i="1"/>
  <c r="B15" i="1"/>
  <c r="B20" i="1"/>
  <c r="B13" i="1"/>
  <c r="B6" i="1"/>
  <c r="C15" i="2"/>
  <c r="D15" i="2"/>
  <c r="E15" i="2"/>
  <c r="F15" i="2"/>
  <c r="B15" i="2"/>
  <c r="D14" i="2"/>
  <c r="E14" i="2"/>
  <c r="F14" i="2"/>
  <c r="C14" i="2"/>
  <c r="B5" i="1"/>
  <c r="B4" i="1"/>
  <c r="B3" i="1"/>
  <c r="B2" i="1"/>
  <c r="C12" i="2"/>
  <c r="D12" i="2"/>
  <c r="E12" i="2"/>
  <c r="F12" i="2"/>
  <c r="B12" i="2"/>
  <c r="C8" i="2"/>
  <c r="D8" i="2"/>
  <c r="E8" i="2"/>
  <c r="F8" i="2"/>
  <c r="B8" i="2"/>
  <c r="C7" i="2"/>
  <c r="D7" i="2"/>
  <c r="E7" i="2"/>
  <c r="F7" i="2"/>
  <c r="B7" i="2"/>
  <c r="C5" i="2"/>
  <c r="D5" i="2"/>
  <c r="E5" i="2"/>
  <c r="F5" i="2"/>
  <c r="B5" i="2"/>
  <c r="D3" i="2"/>
  <c r="E3" i="2"/>
  <c r="F3" i="2"/>
  <c r="C3" i="2"/>
</calcChain>
</file>

<file path=xl/sharedStrings.xml><?xml version="1.0" encoding="utf-8"?>
<sst xmlns="http://schemas.openxmlformats.org/spreadsheetml/2006/main" count="57" uniqueCount="45">
  <si>
    <t>Particulars</t>
  </si>
  <si>
    <t>FY2022</t>
  </si>
  <si>
    <t>FY2023</t>
  </si>
  <si>
    <t>FY2024</t>
  </si>
  <si>
    <t>FY2025</t>
  </si>
  <si>
    <t>FY2026</t>
  </si>
  <si>
    <t>Revenue</t>
  </si>
  <si>
    <t>Revenue Growth %</t>
  </si>
  <si>
    <t>EBITDA</t>
  </si>
  <si>
    <t>EBITDA Margin %</t>
  </si>
  <si>
    <t>Depreciation &amp; Amortisation</t>
  </si>
  <si>
    <t>EBIT</t>
  </si>
  <si>
    <t>EBIT Margin %</t>
  </si>
  <si>
    <t>Tax</t>
  </si>
  <si>
    <t>Tax Rate %</t>
  </si>
  <si>
    <t>PAT</t>
  </si>
  <si>
    <t>PAT Margin %</t>
  </si>
  <si>
    <t>FY2027E</t>
  </si>
  <si>
    <t>FY2028E</t>
  </si>
  <si>
    <t>FY2029E</t>
  </si>
  <si>
    <t>FY2030E</t>
  </si>
  <si>
    <t>FY2031E</t>
  </si>
  <si>
    <t>EBIT (1-Tax)</t>
  </si>
  <si>
    <t>Capex</t>
  </si>
  <si>
    <t>Change in NWC</t>
  </si>
  <si>
    <t>FCFF</t>
  </si>
  <si>
    <t>Value</t>
  </si>
  <si>
    <t>Revenue Growth</t>
  </si>
  <si>
    <t>EBITDA Margin</t>
  </si>
  <si>
    <t>Tax Rate</t>
  </si>
  <si>
    <t>Capex % of Revenue</t>
  </si>
  <si>
    <t>Change in NWC % of Revenue</t>
  </si>
  <si>
    <t>WACC</t>
  </si>
  <si>
    <t>Terminal Growth</t>
  </si>
  <si>
    <t>Working Capital</t>
  </si>
  <si>
    <t>Risk Free Rate</t>
  </si>
  <si>
    <t>Beta</t>
  </si>
  <si>
    <t>Market Return</t>
  </si>
  <si>
    <t>Cost of Equity</t>
  </si>
  <si>
    <t>Cost of Debt</t>
  </si>
  <si>
    <t>Debt %</t>
  </si>
  <si>
    <t>Equity %</t>
  </si>
  <si>
    <t>Market Cap</t>
  </si>
  <si>
    <t>Debt</t>
  </si>
  <si>
    <t>Total Capital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</si>
</sst>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7" formatCode="_ * #,##0.00_ ;_ * \-#,##0.00_ ;_ * &quot;-&quot;??_ ;_ @_ "/>
    <numFmt numFmtId="174" formatCode="0.0000%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2" fillId="3" borderId="0" applyNumberFormat="0" applyBorder="0" applyAlignment="0" applyProtection="0"/>
  </cellStyleXfs>
  <cellXfs count="15">
    <xf numFmtId="0" fontId="0" fillId="0" borderId="0" xfId="0"/>
    <xf numFmtId="10" fontId="0" fillId="0" borderId="0" xfId="1" applyNumberFormat="1" applyFont="1"/>
    <xf numFmtId="0" fontId="0" fillId="0" borderId="0" xfId="0"/>
    <xf numFmtId="0" fontId="0" fillId="0" borderId="0" xfId="0" applyNumberFormat="1"/>
    <xf numFmtId="174" fontId="0" fillId="0" borderId="0" xfId="0" applyNumberFormat="1"/>
    <xf numFmtId="0" fontId="0" fillId="4" borderId="0" xfId="0" applyFill="1"/>
    <xf numFmtId="4" fontId="0" fillId="4" borderId="0" xfId="0" applyNumberFormat="1" applyFill="1"/>
    <xf numFmtId="0" fontId="0" fillId="0" borderId="0" xfId="0"/>
    <xf numFmtId="10" fontId="0" fillId="0" borderId="0" xfId="0" applyNumberFormat="1"/>
    <xf numFmtId="0" fontId="0" fillId="0" borderId="0" xfId="0"/>
    <xf numFmtId="0" fontId="0" fillId="0" borderId="0" xfId="0"/>
    <xf numFmtId="10" fontId="0" fillId="0" borderId="0" xfId="0" applyNumberFormat="1"/>
    <xf numFmtId="0" fontId="0" fillId="5" borderId="0" xfId="0" applyFill="1"/>
    <xf numFmtId="0" fontId="0" fillId="0" borderId="0" xfId="0" applyFill="1"/>
    <xf numFmtId="9" fontId="0" fillId="0" borderId="0" xfId="0" applyNumberFormat="1"/>
  </cellXfs>
  <cellStyles count="5">
    <cellStyle name="60% - Accent1 2" xfId="3" xr:uid="{B8273F70-2B0D-4190-A0A8-1142ECEF9ED2}"/>
    <cellStyle name="60% - Accent3 2" xfId="4" xr:uid="{3DEE57CE-19D1-42F6-A075-36305DA1992F}"/>
    <cellStyle name="Comma 2" xfId="2" xr:uid="{C59A521D-6953-4CE1-A208-58981B420FEA}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2ED063-43CB-48D4-A5CA-8CACBDF50116}">
  <dimension ref="A1:B20"/>
  <sheetViews>
    <sheetView tabSelected="1" topLeftCell="A4" workbookViewId="0">
      <selection activeCell="B7" sqref="B7"/>
    </sheetView>
  </sheetViews>
  <sheetFormatPr defaultRowHeight="14.5" x14ac:dyDescent="0.35"/>
  <cols>
    <col min="2" max="2" width="20" bestFit="1" customWidth="1"/>
  </cols>
  <sheetData>
    <row r="1" spans="1:2" x14ac:dyDescent="0.35">
      <c r="A1" s="12" t="s">
        <v>0</v>
      </c>
      <c r="B1" s="12" t="s">
        <v>26</v>
      </c>
    </row>
    <row r="2" spans="1:2" x14ac:dyDescent="0.35">
      <c r="A2" s="5" t="s">
        <v>27</v>
      </c>
      <c r="B2" s="11">
        <f>AVERAGE(Historicals!C3:F3)</f>
        <v>0.1027756094442282</v>
      </c>
    </row>
    <row r="3" spans="1:2" x14ac:dyDescent="0.35">
      <c r="A3" s="5" t="s">
        <v>28</v>
      </c>
      <c r="B3" s="11">
        <f>AVERAGE(Historicals!B5:F5)</f>
        <v>0.20889009323488397</v>
      </c>
    </row>
    <row r="4" spans="1:2" x14ac:dyDescent="0.35">
      <c r="A4" s="5" t="s">
        <v>29</v>
      </c>
      <c r="B4" s="11">
        <f>AVERAGE(Historicals!B10:F10)</f>
        <v>0.25662000000000001</v>
      </c>
    </row>
    <row r="5" spans="1:2" x14ac:dyDescent="0.35">
      <c r="A5" s="6" t="s">
        <v>30</v>
      </c>
      <c r="B5">
        <f>AVERAGE(3.25%,3.64%,4.07%,3.26%,3.92%)</f>
        <v>3.628E-2</v>
      </c>
    </row>
    <row r="6" spans="1:2" x14ac:dyDescent="0.35">
      <c r="A6" s="6" t="s">
        <v>31</v>
      </c>
      <c r="B6" s="11">
        <f>AVERAGE(Historicals!B15:F15)</f>
        <v>4.7453057351992661E-3</v>
      </c>
    </row>
    <row r="7" spans="1:2" x14ac:dyDescent="0.35">
      <c r="A7" s="6" t="s">
        <v>32</v>
      </c>
      <c r="B7" s="11">
        <f>B16*B13+B15*B14*(1-B4)</f>
        <v>9.7485720303274723E-2</v>
      </c>
    </row>
    <row r="8" spans="1:2" x14ac:dyDescent="0.35">
      <c r="A8" s="6" t="s">
        <v>33</v>
      </c>
      <c r="B8" s="14">
        <v>0.05</v>
      </c>
    </row>
    <row r="9" spans="1:2" x14ac:dyDescent="0.35">
      <c r="A9" s="13"/>
    </row>
    <row r="10" spans="1:2" x14ac:dyDescent="0.35">
      <c r="A10" s="6" t="s">
        <v>35</v>
      </c>
      <c r="B10" s="11">
        <v>7.1300000000000002E-2</v>
      </c>
    </row>
    <row r="11" spans="1:2" x14ac:dyDescent="0.35">
      <c r="A11" s="5" t="s">
        <v>36</v>
      </c>
      <c r="B11">
        <v>0.4</v>
      </c>
    </row>
    <row r="12" spans="1:2" x14ac:dyDescent="0.35">
      <c r="A12" s="5" t="s">
        <v>37</v>
      </c>
      <c r="B12" s="11">
        <v>0.1368</v>
      </c>
    </row>
    <row r="13" spans="1:2" x14ac:dyDescent="0.35">
      <c r="A13" s="5" t="s">
        <v>38</v>
      </c>
      <c r="B13" s="4">
        <f>B10+B11*(B12-B10)</f>
        <v>9.7500000000000003E-2</v>
      </c>
    </row>
    <row r="14" spans="1:2" x14ac:dyDescent="0.35">
      <c r="A14" s="5" t="s">
        <v>39</v>
      </c>
      <c r="B14" s="11">
        <f>54.22/AVERAGE(454.14,417.21)</f>
        <v>0.12445056521489643</v>
      </c>
    </row>
    <row r="15" spans="1:2" x14ac:dyDescent="0.35">
      <c r="A15" s="5" t="s">
        <v>40</v>
      </c>
      <c r="B15" s="11">
        <f>B19/B20</f>
        <v>2.8639935648183709E-3</v>
      </c>
    </row>
    <row r="16" spans="1:2" x14ac:dyDescent="0.35">
      <c r="A16" s="5" t="s">
        <v>41</v>
      </c>
      <c r="B16">
        <f>B18/B20</f>
        <v>0.99713600643518163</v>
      </c>
    </row>
    <row r="18" spans="1:2" x14ac:dyDescent="0.35">
      <c r="A18" t="s">
        <v>42</v>
      </c>
      <c r="B18">
        <v>145257</v>
      </c>
    </row>
    <row r="19" spans="1:2" x14ac:dyDescent="0.35">
      <c r="A19" t="s">
        <v>43</v>
      </c>
      <c r="B19">
        <v>417.21</v>
      </c>
    </row>
    <row r="20" spans="1:2" x14ac:dyDescent="0.35">
      <c r="A20" t="s">
        <v>44</v>
      </c>
      <c r="B20">
        <f>B18+B19</f>
        <v>145674.21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29249C-9FB7-4F3D-AEE2-382FA44E25DE}">
  <dimension ref="A1:F15"/>
  <sheetViews>
    <sheetView workbookViewId="0">
      <selection activeCell="B15" sqref="B15:F15"/>
    </sheetView>
  </sheetViews>
  <sheetFormatPr defaultRowHeight="14.5" x14ac:dyDescent="0.35"/>
  <cols>
    <col min="1" max="1" width="11.54296875" customWidth="1"/>
    <col min="2" max="2" width="9.81640625" bestFit="1" customWidth="1"/>
  </cols>
  <sheetData>
    <row r="1" spans="1: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5">
      <c r="A2" t="s">
        <v>6</v>
      </c>
      <c r="B2" s="2">
        <v>9920.9599999999991</v>
      </c>
      <c r="C2" s="2">
        <v>11799.1</v>
      </c>
      <c r="D2" s="2">
        <v>12382.99</v>
      </c>
      <c r="E2" s="2">
        <v>13140.31</v>
      </c>
      <c r="F2" s="2">
        <v>14600.83</v>
      </c>
    </row>
    <row r="3" spans="1:6" x14ac:dyDescent="0.35">
      <c r="A3" t="s">
        <v>7</v>
      </c>
      <c r="C3" s="1">
        <f>(C2/B2)-1</f>
        <v>0.18931030867980536</v>
      </c>
      <c r="D3" s="1">
        <f t="shared" ref="D3:F3" si="0">(D2/C2)-1</f>
        <v>4.9485977744065268E-2</v>
      </c>
      <c r="E3" s="1">
        <f t="shared" si="0"/>
        <v>6.1158088636104724E-2</v>
      </c>
      <c r="F3" s="1">
        <f t="shared" si="0"/>
        <v>0.11114806271693745</v>
      </c>
    </row>
    <row r="4" spans="1:6" x14ac:dyDescent="0.35">
      <c r="A4" t="s">
        <v>8</v>
      </c>
      <c r="B4">
        <v>1856.41</v>
      </c>
      <c r="C4">
        <v>1986.09</v>
      </c>
      <c r="D4">
        <v>2708.45</v>
      </c>
      <c r="E4">
        <v>3010.58</v>
      </c>
      <c r="F4">
        <v>3521.3</v>
      </c>
    </row>
    <row r="5" spans="1:6" x14ac:dyDescent="0.35">
      <c r="A5" t="s">
        <v>9</v>
      </c>
      <c r="B5" s="1">
        <f>B4/B2</f>
        <v>0.18711999645195629</v>
      </c>
      <c r="C5" s="1">
        <f t="shared" ref="C5:F5" si="1">C4/C2</f>
        <v>0.16832555025383292</v>
      </c>
      <c r="D5" s="1">
        <f t="shared" si="1"/>
        <v>0.21872342624842625</v>
      </c>
      <c r="E5" s="1">
        <f t="shared" si="1"/>
        <v>0.22911027213208821</v>
      </c>
      <c r="F5" s="1">
        <f t="shared" si="1"/>
        <v>0.24117122108811623</v>
      </c>
    </row>
    <row r="6" spans="1:6" x14ac:dyDescent="0.35">
      <c r="A6" t="s">
        <v>10</v>
      </c>
      <c r="B6" s="7">
        <v>239.61</v>
      </c>
      <c r="C6" s="7">
        <v>269.74</v>
      </c>
      <c r="D6" s="7">
        <v>340.66</v>
      </c>
      <c r="E6" s="7">
        <v>358.48</v>
      </c>
      <c r="F6" s="7">
        <v>394.71</v>
      </c>
    </row>
    <row r="7" spans="1:6" x14ac:dyDescent="0.35">
      <c r="A7" t="s">
        <v>11</v>
      </c>
      <c r="B7">
        <f>B4-B6</f>
        <v>1616.8000000000002</v>
      </c>
      <c r="C7" s="7">
        <f t="shared" ref="C7:F7" si="2">C4-C6</f>
        <v>1716.35</v>
      </c>
      <c r="D7" s="7">
        <f t="shared" si="2"/>
        <v>2367.79</v>
      </c>
      <c r="E7" s="7">
        <f t="shared" si="2"/>
        <v>2652.1</v>
      </c>
      <c r="F7" s="7">
        <f t="shared" si="2"/>
        <v>3126.59</v>
      </c>
    </row>
    <row r="8" spans="1:6" x14ac:dyDescent="0.35">
      <c r="A8" t="s">
        <v>12</v>
      </c>
      <c r="B8" s="8">
        <f>B7/B2</f>
        <v>0.16296809986130378</v>
      </c>
      <c r="C8" s="8">
        <f t="shared" ref="C8:F8" si="3">C7/C2</f>
        <v>0.14546448457933231</v>
      </c>
      <c r="D8" s="8">
        <f t="shared" si="3"/>
        <v>0.19121310765816657</v>
      </c>
      <c r="E8" s="8">
        <f t="shared" si="3"/>
        <v>0.20182933279351858</v>
      </c>
      <c r="F8" s="8">
        <f t="shared" si="3"/>
        <v>0.21413782641123827</v>
      </c>
    </row>
    <row r="9" spans="1:6" x14ac:dyDescent="0.35">
      <c r="A9" t="s">
        <v>13</v>
      </c>
      <c r="B9" s="9">
        <v>407.02</v>
      </c>
      <c r="C9" s="9">
        <v>434.37</v>
      </c>
      <c r="D9" s="9">
        <v>631.92999999999995</v>
      </c>
      <c r="E9" s="9">
        <v>726.53</v>
      </c>
      <c r="F9" s="9">
        <v>849.45</v>
      </c>
    </row>
    <row r="10" spans="1:6" x14ac:dyDescent="0.35">
      <c r="A10" t="s">
        <v>14</v>
      </c>
      <c r="B10" s="1">
        <v>0.25219999999999998</v>
      </c>
      <c r="C10" s="1">
        <v>0.25209999999999999</v>
      </c>
      <c r="D10" s="1">
        <v>0.2656</v>
      </c>
      <c r="E10" s="1">
        <v>0.25740000000000002</v>
      </c>
      <c r="F10" s="1">
        <v>0.25580000000000003</v>
      </c>
    </row>
    <row r="11" spans="1:6" x14ac:dyDescent="0.35">
      <c r="A11" t="s">
        <v>15</v>
      </c>
      <c r="B11" s="10">
        <v>1207.56</v>
      </c>
      <c r="C11" s="10">
        <v>1273.25</v>
      </c>
      <c r="D11" s="10">
        <v>1729.38</v>
      </c>
      <c r="E11" s="10">
        <v>2076.2399999999998</v>
      </c>
      <c r="F11" s="10">
        <v>2448.92</v>
      </c>
    </row>
    <row r="12" spans="1:6" x14ac:dyDescent="0.35">
      <c r="A12" t="s">
        <v>16</v>
      </c>
      <c r="B12" s="11">
        <f>B11/B2</f>
        <v>0.12171805954262491</v>
      </c>
      <c r="C12" s="11">
        <f t="shared" ref="C12:F12" si="4">C11/C2</f>
        <v>0.10791077285555678</v>
      </c>
      <c r="D12" s="11">
        <f t="shared" si="4"/>
        <v>0.13965770787184678</v>
      </c>
      <c r="E12" s="11">
        <f t="shared" si="4"/>
        <v>0.15800540474311489</v>
      </c>
      <c r="F12" s="11">
        <f t="shared" si="4"/>
        <v>0.16772471154037133</v>
      </c>
    </row>
    <row r="13" spans="1:6" x14ac:dyDescent="0.35">
      <c r="A13" t="s">
        <v>34</v>
      </c>
      <c r="B13">
        <v>1432.25</v>
      </c>
      <c r="C13">
        <v>1402.02</v>
      </c>
      <c r="D13">
        <v>955.87</v>
      </c>
      <c r="E13">
        <v>823.04</v>
      </c>
      <c r="F13">
        <v>797.27</v>
      </c>
    </row>
    <row r="14" spans="1:6" x14ac:dyDescent="0.35">
      <c r="A14" t="s">
        <v>24</v>
      </c>
      <c r="B14" s="3">
        <v>736.05</v>
      </c>
      <c r="C14">
        <f>C13-B13</f>
        <v>-30.230000000000018</v>
      </c>
      <c r="D14" s="10">
        <f t="shared" ref="D14:F14" si="5">D13-C13</f>
        <v>-446.15</v>
      </c>
      <c r="E14" s="10">
        <f t="shared" si="5"/>
        <v>-132.83000000000004</v>
      </c>
      <c r="F14" s="10">
        <f t="shared" si="5"/>
        <v>-25.769999999999982</v>
      </c>
    </row>
    <row r="15" spans="1:6" x14ac:dyDescent="0.35">
      <c r="A15" t="s">
        <v>31</v>
      </c>
      <c r="B15" s="1">
        <f>B14/B2</f>
        <v>7.4191408895913302E-2</v>
      </c>
      <c r="C15" s="1">
        <f t="shared" ref="C15:F15" si="6">C14/C2</f>
        <v>-2.5620598181217225E-3</v>
      </c>
      <c r="D15" s="1">
        <f t="shared" si="6"/>
        <v>-3.6029262722492711E-2</v>
      </c>
      <c r="E15" s="1">
        <f t="shared" si="6"/>
        <v>-1.0108589523382634E-2</v>
      </c>
      <c r="F15" s="1">
        <f t="shared" si="6"/>
        <v>-1.764968155919902E-3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095F5-79CA-42C2-80D9-9AE2D355E225}">
  <dimension ref="A1:F13"/>
  <sheetViews>
    <sheetView workbookViewId="0">
      <selection activeCell="G5" sqref="G5"/>
    </sheetView>
  </sheetViews>
  <sheetFormatPr defaultRowHeight="14.5" x14ac:dyDescent="0.35"/>
  <sheetData>
    <row r="1" spans="1:6" x14ac:dyDescent="0.35">
      <c r="A1" t="s">
        <v>0</v>
      </c>
      <c r="B1" t="s">
        <v>17</v>
      </c>
      <c r="C1" t="s">
        <v>18</v>
      </c>
      <c r="D1" t="s">
        <v>19</v>
      </c>
      <c r="E1" t="s">
        <v>20</v>
      </c>
      <c r="F1" t="s">
        <v>21</v>
      </c>
    </row>
    <row r="2" spans="1:6" x14ac:dyDescent="0.35">
      <c r="A2" t="s">
        <v>6</v>
      </c>
    </row>
    <row r="3" spans="1:6" x14ac:dyDescent="0.35">
      <c r="A3" t="s">
        <v>7</v>
      </c>
    </row>
    <row r="4" spans="1:6" x14ac:dyDescent="0.35">
      <c r="A4" t="s">
        <v>8</v>
      </c>
    </row>
    <row r="5" spans="1:6" x14ac:dyDescent="0.35">
      <c r="A5" t="s">
        <v>9</v>
      </c>
    </row>
    <row r="6" spans="1:6" x14ac:dyDescent="0.35">
      <c r="A6" t="s">
        <v>10</v>
      </c>
    </row>
    <row r="7" spans="1:6" x14ac:dyDescent="0.35">
      <c r="A7" t="s">
        <v>11</v>
      </c>
    </row>
    <row r="8" spans="1:6" x14ac:dyDescent="0.35">
      <c r="A8" t="s">
        <v>14</v>
      </c>
    </row>
    <row r="9" spans="1:6" x14ac:dyDescent="0.35">
      <c r="A9" t="s">
        <v>13</v>
      </c>
    </row>
    <row r="10" spans="1:6" x14ac:dyDescent="0.35">
      <c r="A10" t="s">
        <v>22</v>
      </c>
    </row>
    <row r="11" spans="1:6" x14ac:dyDescent="0.35">
      <c r="A11" t="s">
        <v>23</v>
      </c>
    </row>
    <row r="12" spans="1:6" x14ac:dyDescent="0.35">
      <c r="A12" t="s">
        <v>24</v>
      </c>
    </row>
    <row r="13" spans="1:6" x14ac:dyDescent="0.35">
      <c r="A13" t="s">
        <v>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60EBC-8083-4456-B121-9DB07E3866D2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94838-33E4-44C6-B04A-2645A3556A9B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FB6CAA-755E-4048-8F46-C387A89B309E}">
  <dimension ref="A1"/>
  <sheetViews>
    <sheetView workbookViewId="0">
      <selection activeCell="H19" sqref="H19"/>
    </sheetView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Inputs</vt:lpstr>
      <vt:lpstr>Historicals</vt:lpstr>
      <vt:lpstr>Forecast</vt:lpstr>
      <vt:lpstr>DCF</vt:lpstr>
      <vt:lpstr>Comps</vt:lpstr>
      <vt:lpstr>Output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Piyush Madheshiya 173</dc:creator>
  <cp:lastModifiedBy>Piyush Madheshiya 173</cp:lastModifiedBy>
  <dcterms:created xsi:type="dcterms:W3CDTF">2026-09-25T12:56:47Z</dcterms:created>
  <dcterms:modified xsi:type="dcterms:W3CDTF">2026-09-26T18:13:56Z</dcterms:modified>
</cp:coreProperties>
</file>