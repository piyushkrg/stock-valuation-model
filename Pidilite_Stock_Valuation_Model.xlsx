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 valuatioin model\"/>
    </mc:Choice>
  </mc:AlternateContent>
  <xr:revisionPtr revIDLastSave="0" documentId="13_ncr:1_{11991639-753C-418C-AD56-68C546E909EB}" xr6:coauthVersionLast="47" xr6:coauthVersionMax="47" xr10:uidLastSave="{00000000-0000-0000-0000-000000000000}"/>
  <bookViews>
    <workbookView xWindow="-110" yWindow="-110" windowWidth="19420" windowHeight="10300" firstSheet="5" activeTab="5" xr2:uid="{66F55DBC-AC4A-4A3B-94F5-72EBBB4B874A}"/>
  </bookViews>
  <sheets>
    <sheet name="Inputs" sheetId="1" r:id="rId1"/>
    <sheet name="Historicals" sheetId="2" r:id="rId2"/>
    <sheet name="Forecast" sheetId="3" r:id="rId3"/>
    <sheet name="DCF" sheetId="4" r:id="rId4"/>
    <sheet name="Comps" sheetId="5" r:id="rId5"/>
    <sheet name="Outpu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6" l="1"/>
  <c r="G4" i="6"/>
  <c r="H4" i="6" s="1"/>
  <c r="F5" i="6"/>
  <c r="H5" i="6" s="1"/>
  <c r="G5" i="6"/>
  <c r="F6" i="6"/>
  <c r="H6" i="6" s="1"/>
  <c r="G6" i="6"/>
  <c r="F7" i="6"/>
  <c r="G7" i="6"/>
  <c r="H7" i="6" s="1"/>
  <c r="F8" i="6"/>
  <c r="G8" i="6"/>
  <c r="H8" i="6"/>
  <c r="B28" i="6"/>
  <c r="C28" i="6"/>
  <c r="B29" i="6"/>
  <c r="C29" i="6"/>
  <c r="B25" i="6"/>
  <c r="B20" i="6"/>
  <c r="B21" i="6"/>
  <c r="B22" i="6"/>
  <c r="B23" i="6"/>
  <c r="B24" i="6"/>
  <c r="B12" i="6"/>
  <c r="B13" i="6"/>
  <c r="B14" i="6"/>
  <c r="B15" i="6"/>
  <c r="B16" i="6"/>
  <c r="B17" i="6"/>
  <c r="B4" i="6"/>
  <c r="B5" i="6"/>
  <c r="B6" i="6"/>
  <c r="B7" i="6"/>
  <c r="B8" i="6"/>
  <c r="B9" i="6"/>
  <c r="C14" i="5"/>
  <c r="B14" i="5"/>
  <c r="C13" i="5"/>
  <c r="B13" i="5"/>
  <c r="C9" i="5"/>
  <c r="B9" i="5"/>
  <c r="A31" i="4"/>
  <c r="D29" i="4" a="1"/>
  <c r="D29" i="4" s="1"/>
  <c r="D28" i="4"/>
  <c r="B9" i="4"/>
  <c r="B8" i="4"/>
  <c r="B29" i="4" a="1"/>
  <c r="B29" i="4" s="1"/>
  <c r="F33" i="4" a="1"/>
  <c r="F33" i="4" s="1"/>
  <c r="E33" i="4" a="1"/>
  <c r="E33" i="4" s="1"/>
  <c r="D33" i="4" a="1"/>
  <c r="D33" i="4" s="1"/>
  <c r="C33" i="4" a="1"/>
  <c r="C33" i="4" s="1"/>
  <c r="B33" i="4" a="1"/>
  <c r="B33" i="4" s="1"/>
  <c r="F32" i="4" a="1"/>
  <c r="F32" i="4" s="1"/>
  <c r="E32" i="4"/>
  <c r="E32" i="4" a="1"/>
  <c r="D32" i="4" a="1"/>
  <c r="D32" i="4" s="1"/>
  <c r="C32" i="4" a="1"/>
  <c r="C32" i="4" s="1"/>
  <c r="B32" i="4" a="1"/>
  <c r="B32" i="4" s="1"/>
  <c r="F31" i="4" a="1"/>
  <c r="F31" i="4" s="1"/>
  <c r="E31" i="4" a="1"/>
  <c r="E31" i="4" s="1"/>
  <c r="D31" i="4" a="1"/>
  <c r="D31" i="4" s="1"/>
  <c r="C31" i="4" a="1"/>
  <c r="C31" i="4" s="1"/>
  <c r="B31" i="4" a="1"/>
  <c r="B31" i="4" s="1"/>
  <c r="F30" i="4" a="1"/>
  <c r="F30" i="4" s="1"/>
  <c r="E30" i="4" a="1"/>
  <c r="E30" i="4" s="1"/>
  <c r="D30" i="4" a="1"/>
  <c r="D30" i="4" s="1"/>
  <c r="C30" i="4" a="1"/>
  <c r="C30" i="4" s="1"/>
  <c r="B30" i="4" a="1"/>
  <c r="B30" i="4" s="1"/>
  <c r="F29" i="4" a="1"/>
  <c r="F29" i="4" s="1"/>
  <c r="E29" i="4" a="1"/>
  <c r="E29" i="4" s="1"/>
  <c r="C29" i="4" a="1"/>
  <c r="C29" i="4" s="1"/>
  <c r="B24" i="4"/>
  <c r="B19" i="4"/>
  <c r="B17" i="4"/>
  <c r="B9" i="1"/>
  <c r="B5" i="3"/>
  <c r="D5" i="3"/>
  <c r="E5" i="3"/>
  <c r="F5" i="3"/>
  <c r="D3" i="3"/>
  <c r="B14" i="1"/>
  <c r="B20" i="1"/>
  <c r="B15" i="1" s="1"/>
  <c r="B13" i="1"/>
  <c r="B6" i="1"/>
  <c r="C15" i="2"/>
  <c r="D15" i="2"/>
  <c r="E15" i="2"/>
  <c r="F15" i="2"/>
  <c r="B15" i="2"/>
  <c r="D14" i="2"/>
  <c r="E14" i="2"/>
  <c r="F14" i="2"/>
  <c r="C14" i="2"/>
  <c r="B5" i="1"/>
  <c r="B4" i="1"/>
  <c r="C8" i="3" s="1"/>
  <c r="B3" i="1"/>
  <c r="C5" i="3" s="1"/>
  <c r="B2" i="1"/>
  <c r="E3" i="3" s="1"/>
  <c r="C12" i="2"/>
  <c r="D12" i="2"/>
  <c r="E12" i="2"/>
  <c r="F12" i="2"/>
  <c r="B12" i="2"/>
  <c r="C8" i="2"/>
  <c r="D8" i="2"/>
  <c r="E8" i="2"/>
  <c r="F8" i="2"/>
  <c r="B8" i="2"/>
  <c r="C7" i="2"/>
  <c r="D7" i="2"/>
  <c r="E7" i="2"/>
  <c r="F7" i="2"/>
  <c r="B7" i="2"/>
  <c r="C5" i="2"/>
  <c r="D5" i="2"/>
  <c r="E5" i="2"/>
  <c r="F5" i="2"/>
  <c r="B5" i="2"/>
  <c r="D3" i="2"/>
  <c r="E3" i="2"/>
  <c r="F3" i="2"/>
  <c r="C3" i="2"/>
  <c r="B16" i="1" l="1"/>
  <c r="B7" i="1" s="1"/>
  <c r="C3" i="3"/>
  <c r="F8" i="3"/>
  <c r="B3" i="3"/>
  <c r="B2" i="3" s="1"/>
  <c r="E8" i="3"/>
  <c r="F3" i="3"/>
  <c r="D8" i="3"/>
  <c r="B8" i="3"/>
  <c r="F5" i="4" l="1"/>
  <c r="E5" i="4"/>
  <c r="B5" i="4"/>
  <c r="D5" i="4"/>
  <c r="C5" i="4"/>
  <c r="B12" i="3"/>
  <c r="C2" i="3"/>
  <c r="B6" i="3"/>
  <c r="B11" i="3"/>
  <c r="B4" i="3"/>
  <c r="C4" i="3" l="1"/>
  <c r="C7" i="3" s="1"/>
  <c r="C11" i="3"/>
  <c r="D2" i="3"/>
  <c r="C6" i="3"/>
  <c r="C12" i="3"/>
  <c r="B7" i="3"/>
  <c r="C10" i="3" l="1"/>
  <c r="C13" i="3" s="1"/>
  <c r="C4" i="4" s="1"/>
  <c r="C6" i="4" s="1"/>
  <c r="C9" i="3"/>
  <c r="B10" i="3"/>
  <c r="B13" i="3" s="1"/>
  <c r="B4" i="4" s="1"/>
  <c r="B6" i="4" s="1"/>
  <c r="B9" i="3"/>
  <c r="D4" i="3"/>
  <c r="D11" i="3"/>
  <c r="E2" i="3"/>
  <c r="D6" i="3"/>
  <c r="D12" i="3"/>
  <c r="E4" i="3" l="1"/>
  <c r="E7" i="3" s="1"/>
  <c r="E11" i="3"/>
  <c r="F2" i="3"/>
  <c r="E6" i="3"/>
  <c r="E12" i="3"/>
  <c r="D7" i="3"/>
  <c r="E10" i="3" l="1"/>
  <c r="E13" i="3" s="1"/>
  <c r="E4" i="4" s="1"/>
  <c r="E6" i="4" s="1"/>
  <c r="E9" i="3"/>
  <c r="D10" i="3"/>
  <c r="D13" i="3" s="1"/>
  <c r="D4" i="4" s="1"/>
  <c r="D6" i="4" s="1"/>
  <c r="D9" i="3"/>
  <c r="F4" i="3"/>
  <c r="F11" i="3"/>
  <c r="F12" i="3"/>
  <c r="F6" i="3"/>
  <c r="F7" i="3" l="1"/>
  <c r="F10" i="3" l="1"/>
  <c r="F13" i="3" s="1"/>
  <c r="F4" i="4" s="1"/>
  <c r="F9" i="3"/>
  <c r="F6" i="4" l="1"/>
  <c r="B12" i="4" s="1"/>
  <c r="B14" i="4"/>
  <c r="B15" i="4" s="1"/>
  <c r="B16" i="4" l="1"/>
  <c r="B18" i="4" s="1"/>
  <c r="B20" i="4" s="1"/>
  <c r="B2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<sst xmlns="http://schemas.openxmlformats.org/spreadsheetml/2006/main" count="146" uniqueCount="103">
  <si>
    <t>Particulars</t>
  </si>
  <si>
    <t>FY2022</t>
  </si>
  <si>
    <t>FY2023</t>
  </si>
  <si>
    <t>FY2024</t>
  </si>
  <si>
    <t>FY2025</t>
  </si>
  <si>
    <t>FY2026</t>
  </si>
  <si>
    <t>Revenue</t>
  </si>
  <si>
    <t>Revenue Growth %</t>
  </si>
  <si>
    <t>EBITDA</t>
  </si>
  <si>
    <t>EBITDA Margin %</t>
  </si>
  <si>
    <t>Depreciation &amp; Amortisation</t>
  </si>
  <si>
    <t>EBIT</t>
  </si>
  <si>
    <t>EBIT Margin %</t>
  </si>
  <si>
    <t>Tax</t>
  </si>
  <si>
    <t>Tax Rate %</t>
  </si>
  <si>
    <t>PAT</t>
  </si>
  <si>
    <t>PAT Margin %</t>
  </si>
  <si>
    <t>FY2027E</t>
  </si>
  <si>
    <t>FY2028E</t>
  </si>
  <si>
    <t>FY2029E</t>
  </si>
  <si>
    <t>FY2030E</t>
  </si>
  <si>
    <t>FY2031E</t>
  </si>
  <si>
    <t>EBIT (1-Tax)</t>
  </si>
  <si>
    <t>Capex</t>
  </si>
  <si>
    <t>Change in NWC</t>
  </si>
  <si>
    <t>FCFF</t>
  </si>
  <si>
    <t>Value</t>
  </si>
  <si>
    <t>Revenue Growth</t>
  </si>
  <si>
    <t>EBITDA Margin</t>
  </si>
  <si>
    <t>Tax Rate</t>
  </si>
  <si>
    <t>Capex % of Revenue</t>
  </si>
  <si>
    <t>Change in NWC % of Revenue</t>
  </si>
  <si>
    <t>WACC</t>
  </si>
  <si>
    <t>Terminal Growth</t>
  </si>
  <si>
    <t>Working Capital</t>
  </si>
  <si>
    <t>Risk Free Rate</t>
  </si>
  <si>
    <t>Beta</t>
  </si>
  <si>
    <t>Market Return</t>
  </si>
  <si>
    <t>Cost of Equity</t>
  </si>
  <si>
    <t>Cost of Debt</t>
  </si>
  <si>
    <t>Debt %</t>
  </si>
  <si>
    <t>Equity %</t>
  </si>
  <si>
    <t>Market Cap</t>
  </si>
  <si>
    <t>Debt</t>
  </si>
  <si>
    <t>Total Capital</t>
  </si>
  <si>
    <t>D&amp;A % of Revenue</t>
  </si>
  <si>
    <t>Discount Factor</t>
  </si>
  <si>
    <t>Present Value of FCFF</t>
  </si>
  <si>
    <t>Year</t>
  </si>
  <si>
    <t>PV of Forecast FCFF</t>
  </si>
  <si>
    <t>Terminal Value</t>
  </si>
  <si>
    <t>PV of Terminal Value</t>
  </si>
  <si>
    <t>Enterprise Value</t>
  </si>
  <si>
    <t>Net Debt</t>
  </si>
  <si>
    <t>Equity Value</t>
  </si>
  <si>
    <t>Shares Outstanding (Cr)</t>
  </si>
  <si>
    <t>Cash &amp; Bank (₹ Cr)</t>
  </si>
  <si>
    <t>Note: Monetary values are in ₹ Crore unless otherwise stated.</t>
  </si>
  <si>
    <t>DCF Valuation (₹ Cr, except per-share value)</t>
  </si>
  <si>
    <t>Comparable Company Valuation (₹ Cr, except per-share data &amp; multiples)</t>
  </si>
  <si>
    <t>Valuation Summary (₹ Cr, except per-share data)</t>
  </si>
  <si>
    <t>Note: Monetary values are in ₹ Crore; percentages are shown as %.</t>
  </si>
  <si>
    <t>Current Market Price (₹)</t>
  </si>
  <si>
    <t>Upside / (Downside) %</t>
  </si>
  <si>
    <t>Valuation Date</t>
  </si>
  <si>
    <t>Intrinsic Value / Share (₹)</t>
  </si>
  <si>
    <t>Sensitivity Analysis — Intrinsic Value / Share (₹)</t>
  </si>
  <si>
    <t>WACC \ Terminal Growth</t>
  </si>
  <si>
    <t>Company</t>
  </si>
  <si>
    <t>P/E</t>
  </si>
  <si>
    <t>EV/EBITDA</t>
  </si>
  <si>
    <t>Market Cap (₹ Cr)</t>
  </si>
  <si>
    <t>Enterprise Value (₹ Cr)</t>
  </si>
  <si>
    <t>Data Date</t>
  </si>
  <si>
    <t>Nikhil Adhesives</t>
  </si>
  <si>
    <t>HP Adhesives</t>
  </si>
  <si>
    <t>Jyoti Resins</t>
  </si>
  <si>
    <t>Hindustan Adhesive</t>
  </si>
  <si>
    <t>Peer Median</t>
  </si>
  <si>
    <t>Pidilite Implied Valuation</t>
  </si>
  <si>
    <t>P/E Method</t>
  </si>
  <si>
    <t>Implied Equity Value (₹ Cr)</t>
  </si>
  <si>
    <t>Implied Value / Share (₹)</t>
  </si>
  <si>
    <t>Method</t>
  </si>
  <si>
    <t>EV/EBITDA Method</t>
  </si>
  <si>
    <t>Valuation Method</t>
  </si>
  <si>
    <t>DCF</t>
  </si>
  <si>
    <t>DCF Sensitivity — Low</t>
  </si>
  <si>
    <t>DCF Sensitivity — High</t>
  </si>
  <si>
    <t>P/E Comps</t>
  </si>
  <si>
    <t>EV/EBITDA Comps</t>
  </si>
  <si>
    <t>Current Market Price</t>
  </si>
  <si>
    <t>Key Assumption</t>
  </si>
  <si>
    <t>DCF Valuation Detail</t>
  </si>
  <si>
    <t>Net Debt (₹ Cr)</t>
  </si>
  <si>
    <t>Equity Value (₹ Cr)</t>
  </si>
  <si>
    <t>Comparable Valuation</t>
  </si>
  <si>
    <t>Median Multiple</t>
  </si>
  <si>
    <t>Low (₹)</t>
  </si>
  <si>
    <t>High (₹)</t>
  </si>
  <si>
    <t>DCF Sensitivity</t>
  </si>
  <si>
    <t>DCF Base Case</t>
  </si>
  <si>
    <t>Range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</si>
</sst>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 * #,##0.00_ ;_ * \-#,##0.00_ ;_ * &quot;-&quot;??_ ;_ @_ "/>
    <numFmt numFmtId="174" formatCode="0.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18">
    <xf numFmtId="0" fontId="0" fillId="0" borderId="0" xfId="0"/>
    <xf numFmtId="10" fontId="0" fillId="0" borderId="0" xfId="1" applyNumberFormat="1" applyFont="1"/>
    <xf numFmtId="0" fontId="0" fillId="0" borderId="0" xfId="0"/>
    <xf numFmtId="0" fontId="0" fillId="0" borderId="0" xfId="0" applyNumberFormat="1"/>
    <xf numFmtId="174" fontId="0" fillId="0" borderId="0" xfId="0" applyNumberFormat="1"/>
    <xf numFmtId="0" fontId="0" fillId="4" borderId="0" xfId="0" applyFill="1"/>
    <xf numFmtId="4" fontId="0" fillId="4" borderId="0" xfId="0" applyNumberFormat="1" applyFill="1"/>
    <xf numFmtId="0" fontId="0" fillId="0" borderId="0" xfId="0"/>
    <xf numFmtId="10" fontId="0" fillId="0" borderId="0" xfId="0" applyNumberFormat="1"/>
    <xf numFmtId="0" fontId="0" fillId="0" borderId="0" xfId="0"/>
    <xf numFmtId="0" fontId="0" fillId="0" borderId="0" xfId="0"/>
    <xf numFmtId="10" fontId="0" fillId="0" borderId="0" xfId="0" applyNumberFormat="1"/>
    <xf numFmtId="0" fontId="0" fillId="5" borderId="0" xfId="0" applyFill="1"/>
    <xf numFmtId="9" fontId="0" fillId="0" borderId="0" xfId="0" applyNumberFormat="1"/>
    <xf numFmtId="0" fontId="2" fillId="0" borderId="0" xfId="0" applyFont="1"/>
    <xf numFmtId="14" fontId="0" fillId="0" borderId="0" xfId="0" applyNumberFormat="1"/>
    <xf numFmtId="2" fontId="0" fillId="0" borderId="0" xfId="0" applyNumberFormat="1"/>
    <xf numFmtId="15" fontId="0" fillId="0" borderId="0" xfId="0" applyNumberFormat="1"/>
  </cellXfs>
  <cellStyles count="5">
    <cellStyle name="60% - Accent1 2" xfId="3" xr:uid="{B8273F70-2B0D-4190-A0A8-1142ECEF9ED2}"/>
    <cellStyle name="60% - Accent3 2" xfId="4" xr:uid="{3DEE57CE-19D1-42F6-A075-36305DA1992F}"/>
    <cellStyle name="Comma 2" xfId="2" xr:uid="{C59A521D-6953-4CE1-A208-58981B420FEA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B12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Pidilite Industries — Valuation Range (₹ / Share)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Low (₹)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Output!$E$4:$E$8</c:f>
              <c:strCache>
                <c:ptCount val="5"/>
                <c:pt idx="0">
                  <c:v>DCF Sensitivity</c:v>
                </c:pt>
                <c:pt idx="1">
                  <c:v>DCF Base Case</c:v>
                </c:pt>
                <c:pt idx="2">
                  <c:v>P/E Comps</c:v>
                </c:pt>
                <c:pt idx="3">
                  <c:v>EV/EBITDA Comps</c:v>
                </c:pt>
                <c:pt idx="4">
                  <c:v>Current Market Price</c:v>
                </c:pt>
              </c:strCache>
            </c:strRef>
          </c:cat>
          <c:val>
            <c:numRef>
              <c:f>Output!$F$4:$F$8</c:f>
              <c:numCache>
                <c:formatCode>General</c:formatCode>
                <c:ptCount val="5"/>
                <c:pt idx="0" formatCode="0.00">
                  <c:v>345.95339591019837</c:v>
                </c:pt>
                <c:pt idx="1">
                  <c:v>479.55619117409594</c:v>
                </c:pt>
                <c:pt idx="2">
                  <c:v>431.18601328792676</c:v>
                </c:pt>
                <c:pt idx="3">
                  <c:v>336.3442235248574</c:v>
                </c:pt>
                <c:pt idx="4">
                  <c:v>1517.2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C-455D-8EA6-4A3641C61DBE}"/>
            </c:ext>
          </c:extLst>
        </c:ser>
        <c:ser>
          <c:idx val="2"/>
          <c:order val="2"/>
          <c:tx>
            <c:strRef>
              <c:f>Output!$H$3</c:f>
              <c:strCache>
                <c:ptCount val="1"/>
                <c:pt idx="0">
                  <c:v>Range (₹)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Output!$E$4:$E$8</c:f>
              <c:strCache>
                <c:ptCount val="5"/>
                <c:pt idx="0">
                  <c:v>DCF Sensitivity</c:v>
                </c:pt>
                <c:pt idx="1">
                  <c:v>DCF Base Case</c:v>
                </c:pt>
                <c:pt idx="2">
                  <c:v>P/E Comps</c:v>
                </c:pt>
                <c:pt idx="3">
                  <c:v>EV/EBITDA Comps</c:v>
                </c:pt>
                <c:pt idx="4">
                  <c:v>Current Market Price</c:v>
                </c:pt>
              </c:strCache>
            </c:strRef>
          </c:cat>
          <c:val>
            <c:numRef>
              <c:f>Output!$H$4:$H$8</c:f>
              <c:numCache>
                <c:formatCode>General</c:formatCode>
                <c:ptCount val="5"/>
                <c:pt idx="0" formatCode="0.00">
                  <c:v>459.97510405925567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FC-455D-8EA6-4A3641C6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5543984"/>
        <c:axId val="5715048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Output!$G$3</c15:sqref>
                        </c15:formulaRef>
                      </c:ext>
                    </c:extLst>
                    <c:strCache>
                      <c:ptCount val="1"/>
                      <c:pt idx="0">
                        <c:v>High (₹)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Output!$E$4:$E$8</c15:sqref>
                        </c15:formulaRef>
                      </c:ext>
                    </c:extLst>
                    <c:strCache>
                      <c:ptCount val="5"/>
                      <c:pt idx="0">
                        <c:v>DCF Sensitivity</c:v>
                      </c:pt>
                      <c:pt idx="1">
                        <c:v>DCF Base Case</c:v>
                      </c:pt>
                      <c:pt idx="2">
                        <c:v>P/E Comps</c:v>
                      </c:pt>
                      <c:pt idx="3">
                        <c:v>EV/EBITDA Comps</c:v>
                      </c:pt>
                      <c:pt idx="4">
                        <c:v>Current Market Price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Output!$G$4:$G$8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 formatCode="0.00">
                        <c:v>805.92849996945404</c:v>
                      </c:pt>
                      <c:pt idx="1">
                        <c:v>479.55619117409594</c:v>
                      </c:pt>
                      <c:pt idx="2">
                        <c:v>431.18601328792676</c:v>
                      </c:pt>
                      <c:pt idx="3">
                        <c:v>336.3442235248574</c:v>
                      </c:pt>
                      <c:pt idx="4">
                        <c:v>1517.2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1FC-455D-8EA6-4A3641C61DBE}"/>
                  </c:ext>
                </c:extLst>
              </c15:ser>
            </c15:filteredBarSeries>
          </c:ext>
        </c:extLst>
      </c:barChart>
      <c:catAx>
        <c:axId val="76554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504880"/>
        <c:crosses val="autoZero"/>
        <c:auto val="1"/>
        <c:lblAlgn val="ctr"/>
        <c:lblOffset val="100"/>
        <c:noMultiLvlLbl val="0"/>
      </c:catAx>
      <c:valAx>
        <c:axId val="57150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54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10</xdr:row>
      <xdr:rowOff>9525</xdr:rowOff>
    </xdr:from>
    <xdr:to>
      <xdr:col>10</xdr:col>
      <xdr:colOff>307975</xdr:colOff>
      <xdr:row>24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CD0C0-C0BA-43FA-8877-8FD153B60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D063-43CB-48D4-A5CA-8CACBDF50116}">
  <dimension ref="A1:B24"/>
  <sheetViews>
    <sheetView topLeftCell="A4" workbookViewId="0">
      <selection activeCell="B23" sqref="B23"/>
    </sheetView>
  </sheetViews>
  <sheetFormatPr defaultRowHeight="14.5" x14ac:dyDescent="0.35"/>
  <cols>
    <col min="2" max="2" width="20" bestFit="1" customWidth="1"/>
  </cols>
  <sheetData>
    <row r="1" spans="1:2" x14ac:dyDescent="0.35">
      <c r="A1" s="12" t="s">
        <v>0</v>
      </c>
      <c r="B1" s="12" t="s">
        <v>26</v>
      </c>
    </row>
    <row r="2" spans="1:2" x14ac:dyDescent="0.35">
      <c r="A2" s="5" t="s">
        <v>27</v>
      </c>
      <c r="B2" s="11">
        <f>AVERAGE(Historicals!C3:F3)</f>
        <v>0.1027756094442282</v>
      </c>
    </row>
    <row r="3" spans="1:2" x14ac:dyDescent="0.35">
      <c r="A3" s="5" t="s">
        <v>28</v>
      </c>
      <c r="B3" s="11">
        <f>AVERAGE(Historicals!B5:F5)</f>
        <v>0.20889009323488397</v>
      </c>
    </row>
    <row r="4" spans="1:2" x14ac:dyDescent="0.35">
      <c r="A4" s="5" t="s">
        <v>29</v>
      </c>
      <c r="B4" s="11">
        <f>AVERAGE(Historicals!B10:F10)</f>
        <v>0.25662000000000001</v>
      </c>
    </row>
    <row r="5" spans="1:2" x14ac:dyDescent="0.35">
      <c r="A5" s="6" t="s">
        <v>30</v>
      </c>
      <c r="B5" s="11">
        <f>AVERAGE(3.25%,3.64%,4.07%,3.26%,3.92%)</f>
        <v>3.628E-2</v>
      </c>
    </row>
    <row r="6" spans="1:2" x14ac:dyDescent="0.35">
      <c r="A6" s="6" t="s">
        <v>31</v>
      </c>
      <c r="B6" s="11">
        <f>AVERAGE(Historicals!B15:F15)</f>
        <v>4.7453057351992661E-3</v>
      </c>
    </row>
    <row r="7" spans="1:2" x14ac:dyDescent="0.35">
      <c r="A7" s="6" t="s">
        <v>32</v>
      </c>
      <c r="B7" s="11">
        <f>B16*B13+B15*B14*(1-B4)</f>
        <v>9.7485720303274723E-2</v>
      </c>
    </row>
    <row r="8" spans="1:2" x14ac:dyDescent="0.35">
      <c r="A8" s="6" t="s">
        <v>33</v>
      </c>
      <c r="B8" s="13">
        <v>0.05</v>
      </c>
    </row>
    <row r="9" spans="1:2" x14ac:dyDescent="0.35">
      <c r="A9" s="6" t="s">
        <v>45</v>
      </c>
      <c r="B9" s="1">
        <f>AVERAGE(Historicals!B6/Historicals!B2,Historicals!C6/Historicals!C2,Historicals!D6/Historicals!D2,Historicals!E6/Historicals!E2,Historicals!F6/Historicals!F2)</f>
        <v>2.5767522974172084E-2</v>
      </c>
    </row>
    <row r="10" spans="1:2" x14ac:dyDescent="0.35">
      <c r="A10" s="6" t="s">
        <v>35</v>
      </c>
      <c r="B10" s="11">
        <v>7.1300000000000002E-2</v>
      </c>
    </row>
    <row r="11" spans="1:2" x14ac:dyDescent="0.35">
      <c r="A11" s="5" t="s">
        <v>36</v>
      </c>
      <c r="B11">
        <v>0.4</v>
      </c>
    </row>
    <row r="12" spans="1:2" x14ac:dyDescent="0.35">
      <c r="A12" s="5" t="s">
        <v>37</v>
      </c>
      <c r="B12" s="11">
        <v>0.1368</v>
      </c>
    </row>
    <row r="13" spans="1:2" x14ac:dyDescent="0.35">
      <c r="A13" s="5" t="s">
        <v>38</v>
      </c>
      <c r="B13" s="4">
        <f>B10+B11*(B12-B10)</f>
        <v>9.7500000000000003E-2</v>
      </c>
    </row>
    <row r="14" spans="1:2" x14ac:dyDescent="0.35">
      <c r="A14" s="5" t="s">
        <v>39</v>
      </c>
      <c r="B14" s="11">
        <f>54.22/AVERAGE(454.14,417.21)</f>
        <v>0.12445056521489643</v>
      </c>
    </row>
    <row r="15" spans="1:2" x14ac:dyDescent="0.35">
      <c r="A15" s="5" t="s">
        <v>40</v>
      </c>
      <c r="B15" s="11">
        <f>B19/B20</f>
        <v>2.8639935648183709E-3</v>
      </c>
    </row>
    <row r="16" spans="1:2" x14ac:dyDescent="0.35">
      <c r="A16" s="5" t="s">
        <v>41</v>
      </c>
      <c r="B16" s="11">
        <f>B18/B20</f>
        <v>0.99713600643518163</v>
      </c>
    </row>
    <row r="18" spans="1:2" x14ac:dyDescent="0.35">
      <c r="A18" t="s">
        <v>42</v>
      </c>
      <c r="B18">
        <v>145257</v>
      </c>
    </row>
    <row r="19" spans="1:2" x14ac:dyDescent="0.35">
      <c r="A19" t="s">
        <v>43</v>
      </c>
      <c r="B19">
        <v>417.21</v>
      </c>
    </row>
    <row r="20" spans="1:2" x14ac:dyDescent="0.35">
      <c r="A20" t="s">
        <v>44</v>
      </c>
      <c r="B20">
        <f>B18+B19</f>
        <v>145674.21</v>
      </c>
    </row>
    <row r="21" spans="1:2" x14ac:dyDescent="0.35">
      <c r="A21" t="s">
        <v>56</v>
      </c>
      <c r="B21">
        <v>298.89999999999998</v>
      </c>
    </row>
    <row r="22" spans="1:2" x14ac:dyDescent="0.35">
      <c r="A22" t="s">
        <v>55</v>
      </c>
      <c r="B22">
        <v>101.7766</v>
      </c>
    </row>
    <row r="24" spans="1:2" x14ac:dyDescent="0.35">
      <c r="A24" s="14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249C-9FB7-4F3D-AEE2-382FA44E25DE}">
  <dimension ref="A1:F17"/>
  <sheetViews>
    <sheetView workbookViewId="0">
      <selection activeCell="A17" sqref="A17"/>
    </sheetView>
  </sheetViews>
  <sheetFormatPr defaultRowHeight="14.5" x14ac:dyDescent="0.35"/>
  <cols>
    <col min="1" max="1" width="11.54296875" customWidth="1"/>
    <col min="2" max="2" width="9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2">
        <v>9920.9599999999991</v>
      </c>
      <c r="C2" s="2">
        <v>11799.1</v>
      </c>
      <c r="D2" s="2">
        <v>12382.99</v>
      </c>
      <c r="E2" s="2">
        <v>13140.31</v>
      </c>
      <c r="F2" s="2">
        <v>14600.83</v>
      </c>
    </row>
    <row r="3" spans="1:6" x14ac:dyDescent="0.35">
      <c r="A3" t="s">
        <v>7</v>
      </c>
      <c r="C3" s="1">
        <f>(C2/B2)-1</f>
        <v>0.18931030867980536</v>
      </c>
      <c r="D3" s="1">
        <f t="shared" ref="D3:F3" si="0">(D2/C2)-1</f>
        <v>4.9485977744065268E-2</v>
      </c>
      <c r="E3" s="1">
        <f t="shared" si="0"/>
        <v>6.1158088636104724E-2</v>
      </c>
      <c r="F3" s="1">
        <f t="shared" si="0"/>
        <v>0.11114806271693745</v>
      </c>
    </row>
    <row r="4" spans="1:6" x14ac:dyDescent="0.35">
      <c r="A4" t="s">
        <v>8</v>
      </c>
      <c r="B4">
        <v>1856.41</v>
      </c>
      <c r="C4">
        <v>1986.09</v>
      </c>
      <c r="D4">
        <v>2708.45</v>
      </c>
      <c r="E4">
        <v>3010.58</v>
      </c>
      <c r="F4">
        <v>3521.3</v>
      </c>
    </row>
    <row r="5" spans="1:6" x14ac:dyDescent="0.35">
      <c r="A5" t="s">
        <v>9</v>
      </c>
      <c r="B5" s="1">
        <f>B4/B2</f>
        <v>0.18711999645195629</v>
      </c>
      <c r="C5" s="1">
        <f t="shared" ref="C5:F5" si="1">C4/C2</f>
        <v>0.16832555025383292</v>
      </c>
      <c r="D5" s="1">
        <f t="shared" si="1"/>
        <v>0.21872342624842625</v>
      </c>
      <c r="E5" s="1">
        <f t="shared" si="1"/>
        <v>0.22911027213208821</v>
      </c>
      <c r="F5" s="1">
        <f t="shared" si="1"/>
        <v>0.24117122108811623</v>
      </c>
    </row>
    <row r="6" spans="1:6" x14ac:dyDescent="0.35">
      <c r="A6" t="s">
        <v>10</v>
      </c>
      <c r="B6" s="7">
        <v>239.61</v>
      </c>
      <c r="C6" s="7">
        <v>269.74</v>
      </c>
      <c r="D6" s="7">
        <v>340.66</v>
      </c>
      <c r="E6" s="7">
        <v>358.48</v>
      </c>
      <c r="F6" s="7">
        <v>394.71</v>
      </c>
    </row>
    <row r="7" spans="1:6" x14ac:dyDescent="0.35">
      <c r="A7" t="s">
        <v>11</v>
      </c>
      <c r="B7">
        <f>B4-B6</f>
        <v>1616.8000000000002</v>
      </c>
      <c r="C7" s="7">
        <f t="shared" ref="C7:F7" si="2">C4-C6</f>
        <v>1716.35</v>
      </c>
      <c r="D7" s="7">
        <f t="shared" si="2"/>
        <v>2367.79</v>
      </c>
      <c r="E7" s="7">
        <f t="shared" si="2"/>
        <v>2652.1</v>
      </c>
      <c r="F7" s="7">
        <f t="shared" si="2"/>
        <v>3126.59</v>
      </c>
    </row>
    <row r="8" spans="1:6" x14ac:dyDescent="0.35">
      <c r="A8" t="s">
        <v>12</v>
      </c>
      <c r="B8" s="8">
        <f>B7/B2</f>
        <v>0.16296809986130378</v>
      </c>
      <c r="C8" s="8">
        <f t="shared" ref="C8:F8" si="3">C7/C2</f>
        <v>0.14546448457933231</v>
      </c>
      <c r="D8" s="8">
        <f t="shared" si="3"/>
        <v>0.19121310765816657</v>
      </c>
      <c r="E8" s="8">
        <f t="shared" si="3"/>
        <v>0.20182933279351858</v>
      </c>
      <c r="F8" s="8">
        <f t="shared" si="3"/>
        <v>0.21413782641123827</v>
      </c>
    </row>
    <row r="9" spans="1:6" x14ac:dyDescent="0.35">
      <c r="A9" t="s">
        <v>13</v>
      </c>
      <c r="B9" s="9">
        <v>407.02</v>
      </c>
      <c r="C9" s="9">
        <v>434.37</v>
      </c>
      <c r="D9" s="9">
        <v>631.92999999999995</v>
      </c>
      <c r="E9" s="9">
        <v>726.53</v>
      </c>
      <c r="F9" s="9">
        <v>849.45</v>
      </c>
    </row>
    <row r="10" spans="1:6" x14ac:dyDescent="0.35">
      <c r="A10" t="s">
        <v>14</v>
      </c>
      <c r="B10" s="1">
        <v>0.25219999999999998</v>
      </c>
      <c r="C10" s="1">
        <v>0.25209999999999999</v>
      </c>
      <c r="D10" s="1">
        <v>0.2656</v>
      </c>
      <c r="E10" s="1">
        <v>0.25740000000000002</v>
      </c>
      <c r="F10" s="1">
        <v>0.25580000000000003</v>
      </c>
    </row>
    <row r="11" spans="1:6" x14ac:dyDescent="0.35">
      <c r="A11" t="s">
        <v>15</v>
      </c>
      <c r="B11" s="10">
        <v>1207.56</v>
      </c>
      <c r="C11" s="10">
        <v>1273.25</v>
      </c>
      <c r="D11" s="10">
        <v>1729.38</v>
      </c>
      <c r="E11" s="10">
        <v>2076.2399999999998</v>
      </c>
      <c r="F11" s="10">
        <v>2448.92</v>
      </c>
    </row>
    <row r="12" spans="1:6" x14ac:dyDescent="0.35">
      <c r="A12" t="s">
        <v>16</v>
      </c>
      <c r="B12" s="11">
        <f>B11/B2</f>
        <v>0.12171805954262491</v>
      </c>
      <c r="C12" s="11">
        <f t="shared" ref="C12:F12" si="4">C11/C2</f>
        <v>0.10791077285555678</v>
      </c>
      <c r="D12" s="11">
        <f t="shared" si="4"/>
        <v>0.13965770787184678</v>
      </c>
      <c r="E12" s="11">
        <f t="shared" si="4"/>
        <v>0.15800540474311489</v>
      </c>
      <c r="F12" s="11">
        <f t="shared" si="4"/>
        <v>0.16772471154037133</v>
      </c>
    </row>
    <row r="13" spans="1:6" x14ac:dyDescent="0.35">
      <c r="A13" t="s">
        <v>34</v>
      </c>
      <c r="B13">
        <v>1432.25</v>
      </c>
      <c r="C13">
        <v>1402.02</v>
      </c>
      <c r="D13">
        <v>955.87</v>
      </c>
      <c r="E13">
        <v>823.04</v>
      </c>
      <c r="F13">
        <v>797.27</v>
      </c>
    </row>
    <row r="14" spans="1:6" x14ac:dyDescent="0.35">
      <c r="A14" t="s">
        <v>24</v>
      </c>
      <c r="B14" s="3">
        <v>736.05</v>
      </c>
      <c r="C14">
        <f>C13-B13</f>
        <v>-30.230000000000018</v>
      </c>
      <c r="D14" s="10">
        <f t="shared" ref="D14:F14" si="5">D13-C13</f>
        <v>-446.15</v>
      </c>
      <c r="E14" s="10">
        <f t="shared" si="5"/>
        <v>-132.83000000000004</v>
      </c>
      <c r="F14" s="10">
        <f t="shared" si="5"/>
        <v>-25.769999999999982</v>
      </c>
    </row>
    <row r="15" spans="1:6" x14ac:dyDescent="0.35">
      <c r="A15" t="s">
        <v>31</v>
      </c>
      <c r="B15" s="1">
        <f>B14/B2</f>
        <v>7.4191408895913302E-2</v>
      </c>
      <c r="C15" s="1">
        <f t="shared" ref="C15:F15" si="6">C14/C2</f>
        <v>-2.5620598181217225E-3</v>
      </c>
      <c r="D15" s="1">
        <f t="shared" si="6"/>
        <v>-3.6029262722492711E-2</v>
      </c>
      <c r="E15" s="1">
        <f t="shared" si="6"/>
        <v>-1.0108589523382634E-2</v>
      </c>
      <c r="F15" s="1">
        <f t="shared" si="6"/>
        <v>-1.764968155919902E-3</v>
      </c>
    </row>
    <row r="17" spans="1:1" x14ac:dyDescent="0.35">
      <c r="A17" s="14" t="s">
        <v>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95F5-79CA-42C2-80D9-9AE2D355E225}">
  <dimension ref="A1:F15"/>
  <sheetViews>
    <sheetView workbookViewId="0">
      <selection activeCell="A15" sqref="A15"/>
    </sheetView>
  </sheetViews>
  <sheetFormatPr defaultRowHeight="14.5" x14ac:dyDescent="0.35"/>
  <cols>
    <col min="2" max="2" width="9.81640625" bestFit="1" customWidth="1"/>
  </cols>
  <sheetData>
    <row r="1" spans="1:6" x14ac:dyDescent="0.3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5">
      <c r="A2" t="s">
        <v>6</v>
      </c>
      <c r="B2">
        <f>Historicals!F2*(1+B3)</f>
        <v>16101.439201641571</v>
      </c>
      <c r="C2" s="10">
        <f>B2*(1+C3)</f>
        <v>17756.274428519471</v>
      </c>
      <c r="D2" s="10">
        <f t="shared" ref="D2:F2" si="0">C2*(1+D3)</f>
        <v>19581.186354369525</v>
      </c>
      <c r="E2" s="10">
        <f t="shared" si="0"/>
        <v>21593.654715580858</v>
      </c>
      <c r="F2" s="10">
        <f t="shared" si="0"/>
        <v>23812.955739102916</v>
      </c>
    </row>
    <row r="3" spans="1:6" x14ac:dyDescent="0.35">
      <c r="A3" t="s">
        <v>7</v>
      </c>
      <c r="B3" s="11">
        <f>Inputs!$B$2</f>
        <v>0.1027756094442282</v>
      </c>
      <c r="C3" s="11">
        <f>Inputs!$B$2</f>
        <v>0.1027756094442282</v>
      </c>
      <c r="D3" s="11">
        <f>Inputs!$B$2</f>
        <v>0.1027756094442282</v>
      </c>
      <c r="E3" s="11">
        <f>Inputs!$B$2</f>
        <v>0.1027756094442282</v>
      </c>
      <c r="F3" s="11">
        <f>Inputs!$B$2</f>
        <v>0.1027756094442282</v>
      </c>
    </row>
    <row r="4" spans="1:6" x14ac:dyDescent="0.35">
      <c r="A4" t="s">
        <v>8</v>
      </c>
      <c r="B4">
        <f>B2*B5</f>
        <v>3363.4311360467236</v>
      </c>
      <c r="C4" s="10">
        <f t="shared" ref="C4:F4" si="1">C2*C5</f>
        <v>3709.1098208776184</v>
      </c>
      <c r="D4" s="10">
        <f t="shared" si="1"/>
        <v>4090.315843213888</v>
      </c>
      <c r="E4" s="10">
        <f t="shared" si="1"/>
        <v>4510.7005468195775</v>
      </c>
      <c r="F4" s="10">
        <f t="shared" si="1"/>
        <v>4974.2905445393735</v>
      </c>
    </row>
    <row r="5" spans="1:6" x14ac:dyDescent="0.35">
      <c r="A5" t="s">
        <v>9</v>
      </c>
      <c r="B5" s="11">
        <f>Inputs!$B$3</f>
        <v>0.20889009323488397</v>
      </c>
      <c r="C5" s="11">
        <f>Inputs!$B$3</f>
        <v>0.20889009323488397</v>
      </c>
      <c r="D5" s="11">
        <f>Inputs!$B$3</f>
        <v>0.20889009323488397</v>
      </c>
      <c r="E5" s="11">
        <f>Inputs!$B$3</f>
        <v>0.20889009323488397</v>
      </c>
      <c r="F5" s="11">
        <f>Inputs!$B$3</f>
        <v>0.20889009323488397</v>
      </c>
    </row>
    <row r="6" spans="1:6" x14ac:dyDescent="0.35">
      <c r="A6" t="s">
        <v>10</v>
      </c>
      <c r="B6" s="3">
        <f>B2*Inputs!$B$9</f>
        <v>414.89420454553419</v>
      </c>
      <c r="C6" s="3">
        <f>C2*Inputs!$B$9</f>
        <v>457.53520927257978</v>
      </c>
      <c r="D6" s="3">
        <f>D2*Inputs!$B$9</f>
        <v>504.55866924776166</v>
      </c>
      <c r="E6" s="3">
        <f>E2*Inputs!$B$9</f>
        <v>556.41499398006908</v>
      </c>
      <c r="F6" s="3">
        <f>F2*Inputs!$B$9</f>
        <v>613.60088409027742</v>
      </c>
    </row>
    <row r="7" spans="1:6" x14ac:dyDescent="0.35">
      <c r="A7" t="s">
        <v>11</v>
      </c>
      <c r="B7">
        <f>B4-B6</f>
        <v>2948.5369315011894</v>
      </c>
      <c r="C7" s="10">
        <f t="shared" ref="C7:F7" si="2">C4-C6</f>
        <v>3251.5746116050386</v>
      </c>
      <c r="D7" s="10">
        <f t="shared" si="2"/>
        <v>3585.7571739661262</v>
      </c>
      <c r="E7" s="10">
        <f t="shared" si="2"/>
        <v>3954.2855528395085</v>
      </c>
      <c r="F7" s="10">
        <f t="shared" si="2"/>
        <v>4360.6896604490958</v>
      </c>
    </row>
    <row r="8" spans="1:6" x14ac:dyDescent="0.35">
      <c r="A8" t="s">
        <v>14</v>
      </c>
      <c r="B8" s="11">
        <f>Inputs!$B$4</f>
        <v>0.25662000000000001</v>
      </c>
      <c r="C8" s="11">
        <f>Inputs!$B$4</f>
        <v>0.25662000000000001</v>
      </c>
      <c r="D8" s="11">
        <f>Inputs!$B$4</f>
        <v>0.25662000000000001</v>
      </c>
      <c r="E8" s="11">
        <f>Inputs!$B$4</f>
        <v>0.25662000000000001</v>
      </c>
      <c r="F8" s="11">
        <f>Inputs!$B$4</f>
        <v>0.25662000000000001</v>
      </c>
    </row>
    <row r="9" spans="1:6" x14ac:dyDescent="0.35">
      <c r="A9" t="s">
        <v>13</v>
      </c>
      <c r="B9">
        <f>B7*B8</f>
        <v>756.65354736183531</v>
      </c>
      <c r="C9" s="10">
        <f t="shared" ref="C9:F9" si="3">C7*C8</f>
        <v>834.41907683008503</v>
      </c>
      <c r="D9" s="10">
        <f t="shared" si="3"/>
        <v>920.17700598318731</v>
      </c>
      <c r="E9" s="10">
        <f t="shared" si="3"/>
        <v>1014.7487585696747</v>
      </c>
      <c r="F9" s="10">
        <f t="shared" si="3"/>
        <v>1119.040180664447</v>
      </c>
    </row>
    <row r="10" spans="1:6" x14ac:dyDescent="0.35">
      <c r="A10" t="s">
        <v>22</v>
      </c>
      <c r="B10">
        <f>B7*(1-B8)</f>
        <v>2191.8833841393539</v>
      </c>
      <c r="C10" s="10">
        <f t="shared" ref="C10:F10" si="4">C7*(1-C8)</f>
        <v>2417.1555347749536</v>
      </c>
      <c r="D10" s="10">
        <f t="shared" si="4"/>
        <v>2665.5801679829387</v>
      </c>
      <c r="E10" s="10">
        <f t="shared" si="4"/>
        <v>2939.5367942698335</v>
      </c>
      <c r="F10" s="10">
        <f t="shared" si="4"/>
        <v>3241.6494797846485</v>
      </c>
    </row>
    <row r="11" spans="1:6" x14ac:dyDescent="0.35">
      <c r="A11" t="s">
        <v>23</v>
      </c>
      <c r="B11" s="10">
        <f>B2*Inputs!$B$5</f>
        <v>584.16021423555617</v>
      </c>
      <c r="C11" s="10">
        <f>C2*Inputs!$B$5</f>
        <v>644.19763626668646</v>
      </c>
      <c r="D11" s="10">
        <f>D2*Inputs!$B$5</f>
        <v>710.40544093652636</v>
      </c>
      <c r="E11" s="10">
        <f>E2*Inputs!$B$5</f>
        <v>783.41779308127354</v>
      </c>
      <c r="F11" s="10">
        <f>F2*Inputs!$B$5</f>
        <v>863.93403421465382</v>
      </c>
    </row>
    <row r="12" spans="1:6" x14ac:dyDescent="0.35">
      <c r="A12" t="s">
        <v>24</v>
      </c>
      <c r="B12" s="10">
        <f>B2*Inputs!$B$6</f>
        <v>76.406251788512037</v>
      </c>
      <c r="C12" s="10">
        <f>C2*Inputs!$B$6</f>
        <v>84.25895088142552</v>
      </c>
      <c r="D12" s="10">
        <f>D2*Inputs!$B$6</f>
        <v>92.918715909395317</v>
      </c>
      <c r="E12" s="10">
        <f>E2*Inputs!$B$6</f>
        <v>102.46849356575852</v>
      </c>
      <c r="F12" s="10">
        <f>F2*Inputs!$B$6</f>
        <v>112.99975544081134</v>
      </c>
    </row>
    <row r="13" spans="1:6" x14ac:dyDescent="0.35">
      <c r="A13" t="s">
        <v>25</v>
      </c>
      <c r="B13" s="10">
        <f>B10+B6-B11-B12</f>
        <v>1946.2111226608199</v>
      </c>
      <c r="C13" s="10">
        <f t="shared" ref="C13:F13" si="5">C10+C6-C11-C12</f>
        <v>2146.2341568994216</v>
      </c>
      <c r="D13" s="10">
        <f t="shared" si="5"/>
        <v>2366.814680384779</v>
      </c>
      <c r="E13" s="10">
        <f t="shared" si="5"/>
        <v>2610.0655016028709</v>
      </c>
      <c r="F13" s="10">
        <f t="shared" si="5"/>
        <v>2878.3165742194606</v>
      </c>
    </row>
    <row r="15" spans="1:6" x14ac:dyDescent="0.35">
      <c r="A15" s="14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0EBC-8083-4456-B121-9DB07E3866D2}">
  <dimension ref="A1:F33"/>
  <sheetViews>
    <sheetView topLeftCell="A19" workbookViewId="0">
      <selection activeCell="F34" sqref="F34"/>
    </sheetView>
  </sheetViews>
  <sheetFormatPr defaultRowHeight="14.5" x14ac:dyDescent="0.35"/>
  <cols>
    <col min="1" max="1" width="9.81640625" bestFit="1" customWidth="1"/>
    <col min="2" max="2" width="10.1796875" bestFit="1" customWidth="1"/>
    <col min="3" max="6" width="9.36328125" bestFit="1" customWidth="1"/>
  </cols>
  <sheetData>
    <row r="1" spans="1:6" x14ac:dyDescent="0.35">
      <c r="A1" t="s">
        <v>58</v>
      </c>
    </row>
    <row r="3" spans="1:6" x14ac:dyDescent="0.35">
      <c r="A3" t="s">
        <v>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35">
      <c r="A4" t="s">
        <v>25</v>
      </c>
      <c r="B4">
        <f>Forecast!B13</f>
        <v>1946.2111226608199</v>
      </c>
      <c r="C4" s="10">
        <f>Forecast!C13</f>
        <v>2146.2341568994216</v>
      </c>
      <c r="D4" s="10">
        <f>Forecast!D13</f>
        <v>2366.814680384779</v>
      </c>
      <c r="E4" s="10">
        <f>Forecast!E13</f>
        <v>2610.0655016028709</v>
      </c>
      <c r="F4" s="10">
        <f>Forecast!F13</f>
        <v>2878.3165742194606</v>
      </c>
    </row>
    <row r="5" spans="1:6" x14ac:dyDescent="0.35">
      <c r="A5" t="s">
        <v>46</v>
      </c>
      <c r="B5">
        <f>1/(1+$B$8)^B11</f>
        <v>0.91117358658995962</v>
      </c>
      <c r="C5" s="10">
        <f t="shared" ref="C5:F5" si="0">1/(1+$B$8)^C11</f>
        <v>0.83023730489921055</v>
      </c>
      <c r="D5" s="10">
        <f t="shared" si="0"/>
        <v>0.75649030282579555</v>
      </c>
      <c r="E5" s="10">
        <f t="shared" si="0"/>
        <v>0.68929398244630469</v>
      </c>
      <c r="F5" s="10">
        <f t="shared" si="0"/>
        <v>0.62806647020047612</v>
      </c>
    </row>
    <row r="6" spans="1:6" x14ac:dyDescent="0.35">
      <c r="A6" t="s">
        <v>47</v>
      </c>
      <c r="B6">
        <f>B4*B5</f>
        <v>1773.3361688961311</v>
      </c>
      <c r="C6" s="10">
        <f t="shared" ref="C6:F6" si="1">C4*C5</f>
        <v>1781.8836621068051</v>
      </c>
      <c r="D6" s="10">
        <f t="shared" si="1"/>
        <v>1790.47235429682</v>
      </c>
      <c r="E6" s="10">
        <f t="shared" si="1"/>
        <v>1799.1024440455546</v>
      </c>
      <c r="F6" s="10">
        <f t="shared" si="1"/>
        <v>1807.7741308895434</v>
      </c>
    </row>
    <row r="8" spans="1:6" x14ac:dyDescent="0.35">
      <c r="A8" t="s">
        <v>32</v>
      </c>
      <c r="B8" s="11">
        <f>Inputs!B7</f>
        <v>9.7485720303274723E-2</v>
      </c>
    </row>
    <row r="9" spans="1:6" x14ac:dyDescent="0.35">
      <c r="A9" t="s">
        <v>33</v>
      </c>
      <c r="B9" s="13">
        <f>Inputs!B8</f>
        <v>0.05</v>
      </c>
    </row>
    <row r="11" spans="1:6" x14ac:dyDescent="0.35">
      <c r="A11" t="s">
        <v>48</v>
      </c>
      <c r="B11">
        <v>1</v>
      </c>
      <c r="C11" s="10">
        <v>2</v>
      </c>
      <c r="D11" s="10">
        <v>3</v>
      </c>
      <c r="E11" s="10">
        <v>4</v>
      </c>
      <c r="F11" s="10">
        <v>5</v>
      </c>
    </row>
    <row r="12" spans="1:6" x14ac:dyDescent="0.35">
      <c r="A12" t="s">
        <v>49</v>
      </c>
      <c r="B12">
        <f>SUM(B6:F6)</f>
        <v>8952.5687602348553</v>
      </c>
    </row>
    <row r="14" spans="1:6" x14ac:dyDescent="0.35">
      <c r="A14" t="s">
        <v>50</v>
      </c>
      <c r="B14">
        <f>F4*(1+$B$9)/($B$8-$B$9)</f>
        <v>63645.078638977997</v>
      </c>
    </row>
    <row r="15" spans="1:6" x14ac:dyDescent="0.35">
      <c r="A15" t="s">
        <v>51</v>
      </c>
      <c r="B15">
        <f>B14*F5</f>
        <v>39973.339886414637</v>
      </c>
    </row>
    <row r="16" spans="1:6" x14ac:dyDescent="0.35">
      <c r="A16" t="s">
        <v>52</v>
      </c>
      <c r="B16">
        <f>B12+B15</f>
        <v>48925.908646649492</v>
      </c>
    </row>
    <row r="17" spans="1:6" x14ac:dyDescent="0.35">
      <c r="A17" t="s">
        <v>53</v>
      </c>
      <c r="B17">
        <f>Inputs!B19-Inputs!B21</f>
        <v>118.31</v>
      </c>
    </row>
    <row r="18" spans="1:6" x14ac:dyDescent="0.35">
      <c r="A18" t="s">
        <v>54</v>
      </c>
      <c r="B18">
        <f>B16-B17</f>
        <v>48807.598646649494</v>
      </c>
    </row>
    <row r="19" spans="1:6" x14ac:dyDescent="0.35">
      <c r="A19" t="s">
        <v>55</v>
      </c>
      <c r="B19">
        <f>Inputs!B22</f>
        <v>101.7766</v>
      </c>
    </row>
    <row r="20" spans="1:6" x14ac:dyDescent="0.35">
      <c r="A20" t="s">
        <v>65</v>
      </c>
      <c r="B20">
        <f>B18/B19</f>
        <v>479.55619117409594</v>
      </c>
    </row>
    <row r="22" spans="1:6" x14ac:dyDescent="0.35">
      <c r="A22" t="s">
        <v>62</v>
      </c>
      <c r="B22">
        <v>1517.2</v>
      </c>
    </row>
    <row r="23" spans="1:6" x14ac:dyDescent="0.35">
      <c r="A23" t="s">
        <v>63</v>
      </c>
      <c r="B23" s="1">
        <f>(B20/B22)-1</f>
        <v>-0.68392025364217246</v>
      </c>
    </row>
    <row r="24" spans="1:6" x14ac:dyDescent="0.35">
      <c r="A24" t="s">
        <v>64</v>
      </c>
      <c r="B24" s="15">
        <f>DATE(2026,9,25)</f>
        <v>46290</v>
      </c>
    </row>
    <row r="27" spans="1:6" x14ac:dyDescent="0.35">
      <c r="A27" t="s">
        <v>66</v>
      </c>
    </row>
    <row r="28" spans="1:6" x14ac:dyDescent="0.35">
      <c r="A28" t="s">
        <v>67</v>
      </c>
      <c r="B28" s="13">
        <v>0.04</v>
      </c>
      <c r="C28" s="11">
        <v>4.4999999999999998E-2</v>
      </c>
      <c r="D28" s="13">
        <f>$B$9</f>
        <v>0.05</v>
      </c>
      <c r="E28" s="11">
        <v>5.5E-2</v>
      </c>
      <c r="F28" s="13">
        <v>0.06</v>
      </c>
    </row>
    <row r="29" spans="1:6" x14ac:dyDescent="0.35">
      <c r="A29" s="1">
        <v>8.7499999999999994E-2</v>
      </c>
      <c r="B29" s="16" cm="1">
        <f t="array" ref="B29">(SUMPRODUCT($B$4:$F$4/(1+$A29)^$B$11:$F$11)+($F$4*(1+B$28)/( $A29-B$28))/(1+$A29)^$F$11-$B$17)/$B$19</f>
        <v>496.34539643750281</v>
      </c>
      <c r="C29" s="16" cm="1">
        <f t="array" ref="C29">(SUMPRODUCT($B$4:$F$4/(1+$A29)^$B$11:$F$11)+($F$4*(1+C$28)/( $A29-C$28))/(1+$A29)^$F$11-$B$17)/$B$19</f>
        <v>546.42501612649482</v>
      </c>
      <c r="D29" s="16" cm="1">
        <f t="array" ref="D29">(SUMPRODUCT($B$4:$F$4/(1+$A29)^$B$11:$F$11)+($F$4*(1+D$28)/( $A29-D$28))/(1+$A29)^$F$11-$B$17)/$B$19</f>
        <v>609.85920106588503</v>
      </c>
      <c r="E29" s="16" cm="1">
        <f t="array" ref="E29">(SUMPRODUCT($B$4:$F$4/(1+$A29)^$B$11:$F$11)+($F$4*(1+E$28)/( $A29-E$28))/(1+$A29)^$F$11-$B$17)/$B$19</f>
        <v>692.8115967558565</v>
      </c>
      <c r="F29" s="16" cm="1">
        <f t="array" ref="F29">(SUMPRODUCT($B$4:$F$4/(1+$A29)^$B$11:$F$11)+($F$4*(1+F$28)/( $A29-F$28))/(1+$A29)^$F$11-$B$17)/$B$19</f>
        <v>805.92849996945404</v>
      </c>
    </row>
    <row r="30" spans="1:6" x14ac:dyDescent="0.35">
      <c r="A30" s="1">
        <v>9.2499999999999999E-2</v>
      </c>
      <c r="B30" s="16" cm="1">
        <f t="array" ref="B30">(SUMPRODUCT($B$4:$F$4/(1+$A30)^$B$11:$F$11)+($F$4*(1+B$28)/( $A30-B$28))/(1+$A30)^$F$11-$B$17)/$B$19</f>
        <v>447.97866707565385</v>
      </c>
      <c r="C30" s="16" cm="1">
        <f t="array" ref="C30">(SUMPRODUCT($B$4:$F$4/(1+$A30)^$B$11:$F$11)+($F$4*(1+C$28)/( $A30-C$28))/(1+$A30)^$F$11-$B$17)/$B$19</f>
        <v>487.78222816914212</v>
      </c>
      <c r="D30" s="16" cm="1">
        <f t="array" ref="D30">(SUMPRODUCT($B$4:$F$4/(1+$A30)^$B$11:$F$11)+($F$4*(1+D$28)/( $A30-D$28))/(1+$A30)^$F$11-$B$17)/$B$19</f>
        <v>536.95133304933347</v>
      </c>
      <c r="E30" s="16" cm="1">
        <f t="array" ref="E30">(SUMPRODUCT($B$4:$F$4/(1+$A30)^$B$11:$F$11)+($F$4*(1+E$28)/( $A30-E$28))/(1+$A30)^$F$11-$B$17)/$B$19</f>
        <v>599.23219923090926</v>
      </c>
      <c r="F30" s="16" cm="1">
        <f t="array" ref="F30">(SUMPRODUCT($B$4:$F$4/(1+$A30)^$B$11:$F$11)+($F$4*(1+F$28)/( $A30-F$28))/(1+$A30)^$F$11-$B$17)/$B$19</f>
        <v>680.67640885296998</v>
      </c>
    </row>
    <row r="31" spans="1:6" x14ac:dyDescent="0.35">
      <c r="A31" s="1">
        <f>$B$8</f>
        <v>9.7485720303274723E-2</v>
      </c>
      <c r="B31" s="16" cm="1">
        <f t="array" ref="B31">(SUMPRODUCT($B$4:$F$4/(1+$A31)^$B$11:$F$11)+($F$4*(1+B$28)/( $A31-B$28))/(1+$A31)^$F$11-$B$17)/$B$19</f>
        <v>408.14404266840728</v>
      </c>
      <c r="C31" s="16" cm="1">
        <f t="array" ref="C31">(SUMPRODUCT($B$4:$F$4/(1+$A31)^$B$11:$F$11)+($F$4*(1+C$28)/( $A31-C$28))/(1+$A31)^$F$11-$B$17)/$B$19</f>
        <v>440.44861323162638</v>
      </c>
      <c r="D31" s="16" cm="1">
        <f t="array" ref="D31">(SUMPRODUCT($B$4:$F$4/(1+$A31)^$B$11:$F$11)+($F$4*(1+D$28)/( $A31-D$28))/(1+$A31)^$F$11-$B$17)/$B$19</f>
        <v>479.55619117409594</v>
      </c>
      <c r="E31" s="16" cm="1">
        <f t="array" ref="E31">(SUMPRODUCT($B$4:$F$4/(1+$A31)^$B$11:$F$11)+($F$4*(1+E$28)/( $A31-E$28))/(1+$A31)^$F$11-$B$17)/$B$19</f>
        <v>527.86864493444216</v>
      </c>
      <c r="F31" s="16" cm="1">
        <f t="array" ref="F31">(SUMPRODUCT($B$4:$F$4/(1+$A31)^$B$11:$F$11)+($F$4*(1+F$28)/( $A31-F$28))/(1+$A31)^$F$11-$B$17)/$B$19</f>
        <v>589.06932743081893</v>
      </c>
    </row>
    <row r="32" spans="1:6" x14ac:dyDescent="0.35">
      <c r="A32" s="1">
        <v>0.10249999999999999</v>
      </c>
      <c r="B32" s="16" cm="1">
        <f t="array" ref="B32">(SUMPRODUCT($B$4:$F$4/(1+$A32)^$B$11:$F$11)+($F$4*(1+B$28)/( $A32-B$28))/(1+$A32)^$F$11-$B$17)/$B$19</f>
        <v>374.50601510905022</v>
      </c>
      <c r="C32" s="16" cm="1">
        <f t="array" ref="C32">(SUMPRODUCT($B$4:$F$4/(1+$A32)^$B$11:$F$11)+($F$4*(1+C$28)/( $A32-C$28))/(1+$A32)^$F$11-$B$17)/$B$19</f>
        <v>401.13768320750921</v>
      </c>
      <c r="D32" s="16" cm="1">
        <f t="array" ref="D32">(SUMPRODUCT($B$4:$F$4/(1+$A32)^$B$11:$F$11)+($F$4*(1+D$28)/( $A32-D$28))/(1+$A32)^$F$11-$B$17)/$B$19</f>
        <v>432.84204999138916</v>
      </c>
      <c r="E32" s="16" cm="1">
        <f t="array" ref="E32">(SUMPRODUCT($B$4:$F$4/(1+$A32)^$B$11:$F$11)+($F$4*(1+E$28)/( $A32-E$28))/(1+$A32)^$F$11-$B$17)/$B$19</f>
        <v>471.2210203087173</v>
      </c>
      <c r="F32" s="16" cm="1">
        <f t="array" ref="F32">(SUMPRODUCT($B$4:$F$4/(1+$A32)^$B$11:$F$11)+($F$4*(1+F$28)/( $A32-F$28))/(1+$A32)^$F$11-$B$17)/$B$19</f>
        <v>518.63033658306404</v>
      </c>
    </row>
    <row r="33" spans="1:6" x14ac:dyDescent="0.35">
      <c r="A33" s="1">
        <v>0.1075</v>
      </c>
      <c r="B33" s="16" cm="1">
        <f t="array" ref="B33">(SUMPRODUCT($B$4:$F$4/(1+$A33)^$B$11:$F$11)+($F$4*(1+B$28)/( $A33-B$28))/(1+$A33)^$F$11-$B$17)/$B$19</f>
        <v>345.95339591019837</v>
      </c>
      <c r="C33" s="16" cm="1">
        <f t="array" ref="C33">(SUMPRODUCT($B$4:$F$4/(1+$A33)^$B$11:$F$11)+($F$4*(1+C$28)/( $A33-C$28))/(1+$A33)^$F$11-$B$17)/$B$19</f>
        <v>368.23271402248685</v>
      </c>
      <c r="D33" s="16" cm="1">
        <f t="array" ref="D33">(SUMPRODUCT($B$4:$F$4/(1+$A33)^$B$11:$F$11)+($F$4*(1+D$28)/( $A33-D$28))/(1+$A33)^$F$11-$B$17)/$B$19</f>
        <v>394.38669615430388</v>
      </c>
      <c r="E33" s="16" cm="1">
        <f t="array" ref="E33">(SUMPRODUCT($B$4:$F$4/(1+$A33)^$B$11:$F$11)+($F$4*(1+E$28)/( $A33-E$28))/(1+$A33)^$F$11-$B$17)/$B$19</f>
        <v>425.5223891683716</v>
      </c>
      <c r="F33" s="16" cm="1">
        <f t="array" ref="F33">(SUMPRODUCT($B$4:$F$4/(1+$A33)^$B$11:$F$11)+($F$4*(1+F$28)/( $A33-F$28))/(1+$A33)^$F$11-$B$17)/$B$19</f>
        <v>463.2129649222432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4838-33E4-44C6-B04A-2645A3556A9B}">
  <dimension ref="A1:F14"/>
  <sheetViews>
    <sheetView workbookViewId="0">
      <selection activeCell="C15" sqref="C15"/>
    </sheetView>
  </sheetViews>
  <sheetFormatPr defaultRowHeight="14.5" x14ac:dyDescent="0.35"/>
  <cols>
    <col min="6" max="6" width="9.08984375" bestFit="1" customWidth="1"/>
  </cols>
  <sheetData>
    <row r="1" spans="1:6" x14ac:dyDescent="0.35">
      <c r="A1" t="s">
        <v>59</v>
      </c>
    </row>
    <row r="3" spans="1:6" x14ac:dyDescent="0.3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</row>
    <row r="4" spans="1:6" x14ac:dyDescent="0.35">
      <c r="A4" t="s">
        <v>76</v>
      </c>
      <c r="B4">
        <v>12.07</v>
      </c>
      <c r="C4">
        <v>7.51</v>
      </c>
      <c r="D4">
        <v>844.44</v>
      </c>
      <c r="E4">
        <v>638.35</v>
      </c>
      <c r="F4" s="17">
        <v>46269</v>
      </c>
    </row>
    <row r="5" spans="1:6" x14ac:dyDescent="0.35">
      <c r="A5" t="s">
        <v>74</v>
      </c>
      <c r="B5">
        <v>23.77</v>
      </c>
      <c r="C5">
        <v>12</v>
      </c>
      <c r="D5">
        <v>400.73</v>
      </c>
      <c r="E5">
        <v>444.6</v>
      </c>
      <c r="F5" s="17">
        <v>46269</v>
      </c>
    </row>
    <row r="6" spans="1:6" x14ac:dyDescent="0.35">
      <c r="A6" t="s">
        <v>75</v>
      </c>
      <c r="B6">
        <v>24.37</v>
      </c>
      <c r="C6">
        <v>14.49</v>
      </c>
      <c r="D6">
        <v>442.27</v>
      </c>
      <c r="E6">
        <v>370.07</v>
      </c>
      <c r="F6" s="17">
        <v>46269</v>
      </c>
    </row>
    <row r="7" spans="1:6" x14ac:dyDescent="0.35">
      <c r="A7" t="s">
        <v>77</v>
      </c>
      <c r="B7">
        <v>11.19</v>
      </c>
      <c r="C7">
        <v>7.01</v>
      </c>
      <c r="D7">
        <v>171.98</v>
      </c>
      <c r="E7">
        <v>239.88</v>
      </c>
      <c r="F7" s="17">
        <v>46269</v>
      </c>
    </row>
    <row r="9" spans="1:6" x14ac:dyDescent="0.35">
      <c r="A9" t="s">
        <v>78</v>
      </c>
      <c r="B9">
        <f>MEDIAN(B4:B7)</f>
        <v>17.920000000000002</v>
      </c>
      <c r="C9">
        <f>MEDIAN(C4:C7)</f>
        <v>9.754999999999999</v>
      </c>
    </row>
    <row r="11" spans="1:6" x14ac:dyDescent="0.35">
      <c r="A11" t="s">
        <v>79</v>
      </c>
    </row>
    <row r="12" spans="1:6" x14ac:dyDescent="0.35">
      <c r="A12" t="s">
        <v>83</v>
      </c>
      <c r="B12" t="s">
        <v>81</v>
      </c>
      <c r="C12" t="s">
        <v>82</v>
      </c>
    </row>
    <row r="13" spans="1:6" x14ac:dyDescent="0.35">
      <c r="A13" t="s">
        <v>80</v>
      </c>
      <c r="B13">
        <f>Historicals!F11*$B$9</f>
        <v>43884.646400000005</v>
      </c>
      <c r="C13">
        <f>B13/Inputs!$B$22</f>
        <v>431.18601328792676</v>
      </c>
    </row>
    <row r="14" spans="1:6" x14ac:dyDescent="0.35">
      <c r="A14" t="s">
        <v>84</v>
      </c>
      <c r="B14">
        <f>Historicals!F4*$C$9-Inputs!$B$19+Inputs!$B$21</f>
        <v>34231.9715</v>
      </c>
      <c r="C14">
        <f>B14/Inputs!$B$22</f>
        <v>336.3442235248574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6CAA-755E-4048-8F46-C387A89B309E}">
  <dimension ref="A1:H29"/>
  <sheetViews>
    <sheetView tabSelected="1" topLeftCell="C14" workbookViewId="0">
      <selection activeCell="E3" sqref="E3:H8"/>
    </sheetView>
  </sheetViews>
  <sheetFormatPr defaultRowHeight="14.5" x14ac:dyDescent="0.35"/>
  <cols>
    <col min="1" max="1" width="23.81640625" customWidth="1"/>
    <col min="2" max="2" width="17.36328125" customWidth="1"/>
    <col min="3" max="3" width="20.6328125" customWidth="1"/>
  </cols>
  <sheetData>
    <row r="1" spans="1:8" x14ac:dyDescent="0.35">
      <c r="A1" t="s">
        <v>60</v>
      </c>
    </row>
    <row r="3" spans="1:8" x14ac:dyDescent="0.35">
      <c r="A3" t="s">
        <v>85</v>
      </c>
      <c r="B3" t="s">
        <v>82</v>
      </c>
      <c r="E3" t="s">
        <v>85</v>
      </c>
      <c r="F3" t="s">
        <v>98</v>
      </c>
      <c r="G3" t="s">
        <v>99</v>
      </c>
      <c r="H3" t="s">
        <v>102</v>
      </c>
    </row>
    <row r="4" spans="1:8" x14ac:dyDescent="0.35">
      <c r="A4" t="s">
        <v>86</v>
      </c>
      <c r="B4">
        <f>DCF!B20</f>
        <v>479.55619117409594</v>
      </c>
      <c r="E4" t="s">
        <v>100</v>
      </c>
      <c r="F4" s="16">
        <f>MIN(DCF!B29:F33)</f>
        <v>345.95339591019837</v>
      </c>
      <c r="G4" s="16">
        <f>MAX(DCF!B29:F33)</f>
        <v>805.92849996945404</v>
      </c>
      <c r="H4" s="16">
        <f>G4-F4</f>
        <v>459.97510405925567</v>
      </c>
    </row>
    <row r="5" spans="1:8" x14ac:dyDescent="0.35">
      <c r="A5" t="s">
        <v>87</v>
      </c>
      <c r="B5" s="16">
        <f>MIN(DCF!B29:F33)</f>
        <v>345.95339591019837</v>
      </c>
      <c r="E5" t="s">
        <v>101</v>
      </c>
      <c r="F5">
        <f>DCF!B20</f>
        <v>479.55619117409594</v>
      </c>
      <c r="G5">
        <f>DCF!B20</f>
        <v>479.55619117409594</v>
      </c>
      <c r="H5">
        <f>G5-F5</f>
        <v>0</v>
      </c>
    </row>
    <row r="6" spans="1:8" x14ac:dyDescent="0.35">
      <c r="A6" t="s">
        <v>88</v>
      </c>
      <c r="B6" s="16">
        <f>MAX(DCF!B29:F33)</f>
        <v>805.92849996945404</v>
      </c>
      <c r="E6" t="s">
        <v>89</v>
      </c>
      <c r="F6">
        <f>Comps!C13</f>
        <v>431.18601328792676</v>
      </c>
      <c r="G6">
        <f>Comps!C13</f>
        <v>431.18601328792676</v>
      </c>
      <c r="H6">
        <f>G6-F6</f>
        <v>0</v>
      </c>
    </row>
    <row r="7" spans="1:8" x14ac:dyDescent="0.35">
      <c r="A7" t="s">
        <v>89</v>
      </c>
      <c r="B7">
        <f>Comps!C13</f>
        <v>431.18601328792676</v>
      </c>
      <c r="E7" t="s">
        <v>90</v>
      </c>
      <c r="F7">
        <f>Comps!C14</f>
        <v>336.3442235248574</v>
      </c>
      <c r="G7">
        <f>Comps!C14</f>
        <v>336.3442235248574</v>
      </c>
      <c r="H7">
        <f>G7-F7</f>
        <v>0</v>
      </c>
    </row>
    <row r="8" spans="1:8" x14ac:dyDescent="0.35">
      <c r="A8" t="s">
        <v>90</v>
      </c>
      <c r="B8">
        <f>Comps!C14</f>
        <v>336.3442235248574</v>
      </c>
      <c r="E8" t="s">
        <v>91</v>
      </c>
      <c r="F8">
        <f>DCF!B22</f>
        <v>1517.2</v>
      </c>
      <c r="G8">
        <f>DCF!B22</f>
        <v>1517.2</v>
      </c>
      <c r="H8">
        <f>G8-F8</f>
        <v>0</v>
      </c>
    </row>
    <row r="9" spans="1:8" x14ac:dyDescent="0.35">
      <c r="A9" t="s">
        <v>91</v>
      </c>
      <c r="B9">
        <f>DCF!B22</f>
        <v>1517.2</v>
      </c>
    </row>
    <row r="11" spans="1:8" x14ac:dyDescent="0.35">
      <c r="A11" t="s">
        <v>92</v>
      </c>
      <c r="B11" t="s">
        <v>26</v>
      </c>
    </row>
    <row r="12" spans="1:8" x14ac:dyDescent="0.35">
      <c r="A12" t="s">
        <v>32</v>
      </c>
      <c r="B12" s="11">
        <f>Inputs!B7</f>
        <v>9.7485720303274723E-2</v>
      </c>
    </row>
    <row r="13" spans="1:8" x14ac:dyDescent="0.35">
      <c r="A13" t="s">
        <v>33</v>
      </c>
      <c r="B13" s="13">
        <f>Inputs!B8</f>
        <v>0.05</v>
      </c>
    </row>
    <row r="14" spans="1:8" x14ac:dyDescent="0.35">
      <c r="A14" t="s">
        <v>27</v>
      </c>
      <c r="B14" s="11">
        <f>Inputs!B2</f>
        <v>0.1027756094442282</v>
      </c>
    </row>
    <row r="15" spans="1:8" x14ac:dyDescent="0.35">
      <c r="A15" t="s">
        <v>28</v>
      </c>
      <c r="B15" s="11">
        <f>Inputs!B3</f>
        <v>0.20889009323488397</v>
      </c>
    </row>
    <row r="16" spans="1:8" x14ac:dyDescent="0.35">
      <c r="A16" t="s">
        <v>29</v>
      </c>
      <c r="B16" s="11">
        <f>Inputs!B4</f>
        <v>0.25662000000000001</v>
      </c>
    </row>
    <row r="17" spans="1:3" x14ac:dyDescent="0.35">
      <c r="A17" t="s">
        <v>30</v>
      </c>
      <c r="B17" s="11">
        <f>Inputs!B5</f>
        <v>3.628E-2</v>
      </c>
    </row>
    <row r="19" spans="1:3" x14ac:dyDescent="0.35">
      <c r="A19" t="s">
        <v>93</v>
      </c>
      <c r="B19" t="s">
        <v>26</v>
      </c>
    </row>
    <row r="20" spans="1:3" x14ac:dyDescent="0.35">
      <c r="A20" t="s">
        <v>72</v>
      </c>
      <c r="B20" s="16">
        <f>DCF!B16</f>
        <v>48925.908646649492</v>
      </c>
    </row>
    <row r="21" spans="1:3" x14ac:dyDescent="0.35">
      <c r="A21" t="s">
        <v>94</v>
      </c>
      <c r="B21" s="16">
        <f>DCF!B17</f>
        <v>118.31</v>
      </c>
    </row>
    <row r="22" spans="1:3" x14ac:dyDescent="0.35">
      <c r="A22" t="s">
        <v>95</v>
      </c>
      <c r="B22" s="16">
        <f>DCF!B18</f>
        <v>48807.598646649494</v>
      </c>
    </row>
    <row r="23" spans="1:3" x14ac:dyDescent="0.35">
      <c r="A23" t="s">
        <v>55</v>
      </c>
      <c r="B23" s="16">
        <f>DCF!B19</f>
        <v>101.7766</v>
      </c>
    </row>
    <row r="24" spans="1:3" x14ac:dyDescent="0.35">
      <c r="A24" t="s">
        <v>65</v>
      </c>
      <c r="B24" s="16">
        <f>DCF!B20</f>
        <v>479.55619117409594</v>
      </c>
    </row>
    <row r="25" spans="1:3" x14ac:dyDescent="0.35">
      <c r="A25" t="s">
        <v>64</v>
      </c>
      <c r="B25" s="15">
        <f>DCF!B24</f>
        <v>46290</v>
      </c>
    </row>
    <row r="27" spans="1:3" x14ac:dyDescent="0.35">
      <c r="A27" t="s">
        <v>96</v>
      </c>
      <c r="B27" t="s">
        <v>97</v>
      </c>
      <c r="C27" t="s">
        <v>82</v>
      </c>
    </row>
    <row r="28" spans="1:3" x14ac:dyDescent="0.35">
      <c r="A28" t="s">
        <v>69</v>
      </c>
      <c r="B28" s="16">
        <f>Comps!B9</f>
        <v>17.920000000000002</v>
      </c>
      <c r="C28" s="16">
        <f>Comps!C13</f>
        <v>431.18601328792676</v>
      </c>
    </row>
    <row r="29" spans="1:3" x14ac:dyDescent="0.35">
      <c r="A29" t="s">
        <v>70</v>
      </c>
      <c r="B29" s="16">
        <f>Comps!C9</f>
        <v>9.754999999999999</v>
      </c>
      <c r="C29" s="16">
        <f>Comps!C14</f>
        <v>336.3442235248574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Historicals</vt:lpstr>
      <vt:lpstr>Forecast</vt:lpstr>
      <vt:lpstr>DCF</vt:lpstr>
      <vt:lpstr>Comps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Madheshiya 173</dc:creator>
  <cp:lastModifiedBy>Piyush Madheshiya 173</cp:lastModifiedBy>
  <dcterms:created xsi:type="dcterms:W3CDTF">2026-09-25T12:56:47Z</dcterms:created>
  <dcterms:modified xsi:type="dcterms:W3CDTF">2026-09-28T17:59:00Z</dcterms:modified>
</cp:coreProperties>
</file>