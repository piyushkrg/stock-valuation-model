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stock valuatioin model\"/>
    </mc:Choice>
  </mc:AlternateContent>
  <xr:revisionPtr revIDLastSave="0" documentId="13_ncr:1_{19167508-6D36-475B-A7F7-9DC43841E1C4}" xr6:coauthVersionLast="47" xr6:coauthVersionMax="47" xr10:uidLastSave="{00000000-0000-0000-0000-000000000000}"/>
  <bookViews>
    <workbookView xWindow="-110" yWindow="-110" windowWidth="19420" windowHeight="10300" xr2:uid="{66F55DBC-AC4A-4A3B-94F5-72EBBB4B874A}"/>
  </bookViews>
  <sheets>
    <sheet name="Inputs" sheetId="1" r:id="rId1"/>
    <sheet name="Historicals" sheetId="2" r:id="rId2"/>
    <sheet name="Forecast" sheetId="3" r:id="rId3"/>
    <sheet name="DCF" sheetId="4" r:id="rId4"/>
    <sheet name="Comps" sheetId="5" r:id="rId5"/>
    <sheet name="Output" sheetId="6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4" i="1" l="1"/>
  <c r="B3" i="1"/>
  <c r="B2" i="1"/>
  <c r="C12" i="2"/>
  <c r="D12" i="2"/>
  <c r="E12" i="2"/>
  <c r="F12" i="2"/>
  <c r="B12" i="2"/>
  <c r="C8" i="2"/>
  <c r="D8" i="2"/>
  <c r="E8" i="2"/>
  <c r="F8" i="2"/>
  <c r="B8" i="2"/>
  <c r="C7" i="2"/>
  <c r="D7" i="2"/>
  <c r="E7" i="2"/>
  <c r="F7" i="2"/>
  <c r="B7" i="2"/>
  <c r="C5" i="2"/>
  <c r="D5" i="2"/>
  <c r="E5" i="2"/>
  <c r="F5" i="2"/>
  <c r="B5" i="2"/>
  <c r="D3" i="2"/>
  <c r="E3" i="2"/>
  <c r="F3" i="2"/>
  <c r="C3" i="2"/>
</calcChain>
</file>

<file path=xl/sharedStrings.xml><?xml version="1.0" encoding="utf-8"?>
<sst xmlns="http://schemas.openxmlformats.org/spreadsheetml/2006/main" count="44" uniqueCount="34">
  <si>
    <t>Particulars</t>
  </si>
  <si>
    <t>FY2022</t>
  </si>
  <si>
    <t>FY2023</t>
  </si>
  <si>
    <t>FY2024</t>
  </si>
  <si>
    <t>FY2025</t>
  </si>
  <si>
    <t>FY2026</t>
  </si>
  <si>
    <t>Revenue</t>
  </si>
  <si>
    <t>Revenue Growth %</t>
  </si>
  <si>
    <t>EBITDA</t>
  </si>
  <si>
    <t>EBITDA Margin %</t>
  </si>
  <si>
    <t>Depreciation &amp; Amortisation</t>
  </si>
  <si>
    <t>EBIT</t>
  </si>
  <si>
    <t>EBIT Margin %</t>
  </si>
  <si>
    <t>Tax</t>
  </si>
  <si>
    <t>Tax Rate %</t>
  </si>
  <si>
    <t>PAT</t>
  </si>
  <si>
    <t>PAT Margin %</t>
  </si>
  <si>
    <t>FY2027E</t>
  </si>
  <si>
    <t>FY2028E</t>
  </si>
  <si>
    <t>FY2029E</t>
  </si>
  <si>
    <t>FY2030E</t>
  </si>
  <si>
    <t>FY2031E</t>
  </si>
  <si>
    <t>EBIT (1-Tax)</t>
  </si>
  <si>
    <t>Capex</t>
  </si>
  <si>
    <t>Change in NWC</t>
  </si>
  <si>
    <t>FCFF</t>
  </si>
  <si>
    <t>Value</t>
  </si>
  <si>
    <t>Revenue Growth</t>
  </si>
  <si>
    <t>EBITDA Margin</t>
  </si>
  <si>
    <t>Tax Rate</t>
  </si>
  <si>
    <t>Capex % of Revenue</t>
  </si>
  <si>
    <t>Change in NWC % of Revenue</t>
  </si>
  <si>
    <t>WACC</t>
  </si>
  <si>
    <t>Terminal Growth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</si>
</sst>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7" formatCode="_ * #,##0.00_ ;_ * \-#,##0.00_ ;_ * &quot;-&quot;??_ ;_ @_ 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0.39997558519241921"/>
        <bgColor indexed="65"/>
      </patternFill>
    </fill>
    <fill>
      <patternFill patternType="solid">
        <fgColor theme="6" tint="0.39997558519241921"/>
        <bgColor indexed="65"/>
      </patternFill>
    </fill>
  </fills>
  <borders count="1">
    <border>
      <left/>
      <right/>
      <top/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0" fontId="2" fillId="2" borderId="0" applyNumberFormat="0" applyBorder="0" applyAlignment="0" applyProtection="0"/>
    <xf numFmtId="0" fontId="2" fillId="3" borderId="0" applyNumberFormat="0" applyBorder="0" applyAlignment="0" applyProtection="0"/>
  </cellStyleXfs>
  <cellXfs count="9">
    <xf numFmtId="0" fontId="0" fillId="0" borderId="0" xfId="0"/>
    <xf numFmtId="10" fontId="0" fillId="0" borderId="0" xfId="1" applyNumberFormat="1" applyFont="1"/>
    <xf numFmtId="4" fontId="0" fillId="0" borderId="0" xfId="0" applyNumberFormat="1"/>
    <xf numFmtId="0" fontId="0" fillId="0" borderId="0" xfId="0"/>
    <xf numFmtId="0" fontId="0" fillId="0" borderId="0" xfId="0"/>
    <xf numFmtId="10" fontId="0" fillId="0" borderId="0" xfId="0" applyNumberFormat="1"/>
    <xf numFmtId="0" fontId="0" fillId="0" borderId="0" xfId="0"/>
    <xf numFmtId="0" fontId="0" fillId="0" borderId="0" xfId="0"/>
    <xf numFmtId="10" fontId="0" fillId="0" borderId="0" xfId="0" applyNumberFormat="1"/>
  </cellXfs>
  <cellStyles count="5">
    <cellStyle name="60% - Accent1 2" xfId="3" xr:uid="{B8273F70-2B0D-4190-A0A8-1142ECEF9ED2}"/>
    <cellStyle name="60% - Accent3 2" xfId="4" xr:uid="{3DEE57CE-19D1-42F6-A075-36305DA1992F}"/>
    <cellStyle name="Comma 2" xfId="2" xr:uid="{C59A521D-6953-4CE1-A208-58981B420FEA}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2ED063-43CB-48D4-A5CA-8CACBDF50116}">
  <dimension ref="A1:B8"/>
  <sheetViews>
    <sheetView tabSelected="1" workbookViewId="0">
      <selection activeCell="A6" sqref="A6"/>
    </sheetView>
  </sheetViews>
  <sheetFormatPr defaultRowHeight="14.5" x14ac:dyDescent="0.35"/>
  <sheetData>
    <row r="1" spans="1:2" x14ac:dyDescent="0.35">
      <c r="A1" t="s">
        <v>0</v>
      </c>
      <c r="B1" t="s">
        <v>26</v>
      </c>
    </row>
    <row r="2" spans="1:2" x14ac:dyDescent="0.35">
      <c r="A2" t="s">
        <v>27</v>
      </c>
      <c r="B2" s="8">
        <f>AVERAGE(Historicals!C3:F3)</f>
        <v>0.1027756094442282</v>
      </c>
    </row>
    <row r="3" spans="1:2" x14ac:dyDescent="0.35">
      <c r="A3" t="s">
        <v>28</v>
      </c>
      <c r="B3" s="8">
        <f>AVERAGE(Historicals!B5:F5)</f>
        <v>0.20889009323488397</v>
      </c>
    </row>
    <row r="4" spans="1:2" x14ac:dyDescent="0.35">
      <c r="A4" t="s">
        <v>29</v>
      </c>
      <c r="B4" s="8">
        <f>AVERAGE(Historicals!B10:F10)</f>
        <v>0.25662000000000001</v>
      </c>
    </row>
    <row r="5" spans="1:2" x14ac:dyDescent="0.35">
      <c r="A5" s="2" t="s">
        <v>30</v>
      </c>
    </row>
    <row r="6" spans="1:2" x14ac:dyDescent="0.35">
      <c r="A6" s="2" t="s">
        <v>31</v>
      </c>
    </row>
    <row r="7" spans="1:2" x14ac:dyDescent="0.35">
      <c r="A7" s="2" t="s">
        <v>32</v>
      </c>
    </row>
    <row r="8" spans="1:2" x14ac:dyDescent="0.35">
      <c r="A8" s="2" t="s">
        <v>33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29249C-9FB7-4F3D-AEE2-382FA44E25DE}">
  <dimension ref="A1:F12"/>
  <sheetViews>
    <sheetView workbookViewId="0">
      <selection activeCell="F3" sqref="F3"/>
    </sheetView>
  </sheetViews>
  <sheetFormatPr defaultRowHeight="14.5" x14ac:dyDescent="0.35"/>
  <cols>
    <col min="1" max="1" width="11.54296875" customWidth="1"/>
  </cols>
  <sheetData>
    <row r="1" spans="1:6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6" x14ac:dyDescent="0.35">
      <c r="A2" t="s">
        <v>6</v>
      </c>
      <c r="B2" s="3">
        <v>9920.9599999999991</v>
      </c>
      <c r="C2" s="3">
        <v>11799.1</v>
      </c>
      <c r="D2" s="3">
        <v>12382.99</v>
      </c>
      <c r="E2" s="3">
        <v>13140.31</v>
      </c>
      <c r="F2" s="3">
        <v>14600.83</v>
      </c>
    </row>
    <row r="3" spans="1:6" x14ac:dyDescent="0.35">
      <c r="A3" t="s">
        <v>7</v>
      </c>
      <c r="C3" s="1">
        <f>(C2/B2)-1</f>
        <v>0.18931030867980536</v>
      </c>
      <c r="D3" s="1">
        <f t="shared" ref="D3:F3" si="0">(D2/C2)-1</f>
        <v>4.9485977744065268E-2</v>
      </c>
      <c r="E3" s="1">
        <f t="shared" si="0"/>
        <v>6.1158088636104724E-2</v>
      </c>
      <c r="F3" s="1">
        <f t="shared" si="0"/>
        <v>0.11114806271693745</v>
      </c>
    </row>
    <row r="4" spans="1:6" x14ac:dyDescent="0.35">
      <c r="A4" t="s">
        <v>8</v>
      </c>
      <c r="B4">
        <v>1856.41</v>
      </c>
      <c r="C4">
        <v>1986.09</v>
      </c>
      <c r="D4">
        <v>2708.45</v>
      </c>
      <c r="E4">
        <v>3010.58</v>
      </c>
      <c r="F4">
        <v>3521.3</v>
      </c>
    </row>
    <row r="5" spans="1:6" x14ac:dyDescent="0.35">
      <c r="A5" t="s">
        <v>9</v>
      </c>
      <c r="B5" s="1">
        <f>B4/B2</f>
        <v>0.18711999645195629</v>
      </c>
      <c r="C5" s="1">
        <f t="shared" ref="C5:F5" si="1">C4/C2</f>
        <v>0.16832555025383292</v>
      </c>
      <c r="D5" s="1">
        <f t="shared" si="1"/>
        <v>0.21872342624842625</v>
      </c>
      <c r="E5" s="1">
        <f t="shared" si="1"/>
        <v>0.22911027213208821</v>
      </c>
      <c r="F5" s="1">
        <f t="shared" si="1"/>
        <v>0.24117122108811623</v>
      </c>
    </row>
    <row r="6" spans="1:6" x14ac:dyDescent="0.35">
      <c r="A6" t="s">
        <v>10</v>
      </c>
      <c r="B6" s="4">
        <v>239.61</v>
      </c>
      <c r="C6" s="4">
        <v>269.74</v>
      </c>
      <c r="D6" s="4">
        <v>340.66</v>
      </c>
      <c r="E6" s="4">
        <v>358.48</v>
      </c>
      <c r="F6" s="4">
        <v>394.71</v>
      </c>
    </row>
    <row r="7" spans="1:6" x14ac:dyDescent="0.35">
      <c r="A7" t="s">
        <v>11</v>
      </c>
      <c r="B7">
        <f>B4-B6</f>
        <v>1616.8000000000002</v>
      </c>
      <c r="C7" s="4">
        <f t="shared" ref="C7:F7" si="2">C4-C6</f>
        <v>1716.35</v>
      </c>
      <c r="D7" s="4">
        <f t="shared" si="2"/>
        <v>2367.79</v>
      </c>
      <c r="E7" s="4">
        <f t="shared" si="2"/>
        <v>2652.1</v>
      </c>
      <c r="F7" s="4">
        <f t="shared" si="2"/>
        <v>3126.59</v>
      </c>
    </row>
    <row r="8" spans="1:6" x14ac:dyDescent="0.35">
      <c r="A8" t="s">
        <v>12</v>
      </c>
      <c r="B8" s="5">
        <f>B7/B2</f>
        <v>0.16296809986130378</v>
      </c>
      <c r="C8" s="5">
        <f t="shared" ref="C8:F8" si="3">C7/C2</f>
        <v>0.14546448457933231</v>
      </c>
      <c r="D8" s="5">
        <f t="shared" si="3"/>
        <v>0.19121310765816657</v>
      </c>
      <c r="E8" s="5">
        <f t="shared" si="3"/>
        <v>0.20182933279351858</v>
      </c>
      <c r="F8" s="5">
        <f t="shared" si="3"/>
        <v>0.21413782641123827</v>
      </c>
    </row>
    <row r="9" spans="1:6" x14ac:dyDescent="0.35">
      <c r="A9" t="s">
        <v>13</v>
      </c>
      <c r="B9" s="6">
        <v>407.02</v>
      </c>
      <c r="C9" s="6">
        <v>434.37</v>
      </c>
      <c r="D9" s="6">
        <v>631.92999999999995</v>
      </c>
      <c r="E9" s="6">
        <v>726.53</v>
      </c>
      <c r="F9" s="6">
        <v>849.45</v>
      </c>
    </row>
    <row r="10" spans="1:6" x14ac:dyDescent="0.35">
      <c r="A10" t="s">
        <v>14</v>
      </c>
      <c r="B10" s="1">
        <v>0.25219999999999998</v>
      </c>
      <c r="C10" s="1">
        <v>0.25209999999999999</v>
      </c>
      <c r="D10" s="1">
        <v>0.2656</v>
      </c>
      <c r="E10" s="1">
        <v>0.25740000000000002</v>
      </c>
      <c r="F10" s="1">
        <v>0.25580000000000003</v>
      </c>
    </row>
    <row r="11" spans="1:6" x14ac:dyDescent="0.35">
      <c r="A11" t="s">
        <v>15</v>
      </c>
      <c r="B11" s="7">
        <v>1207.56</v>
      </c>
      <c r="C11" s="7">
        <v>1273.25</v>
      </c>
      <c r="D11" s="7">
        <v>1729.38</v>
      </c>
      <c r="E11" s="7">
        <v>2076.2399999999998</v>
      </c>
      <c r="F11" s="7">
        <v>2448.92</v>
      </c>
    </row>
    <row r="12" spans="1:6" x14ac:dyDescent="0.35">
      <c r="A12" t="s">
        <v>16</v>
      </c>
      <c r="B12" s="8">
        <f>B11/B2</f>
        <v>0.12171805954262491</v>
      </c>
      <c r="C12" s="8">
        <f t="shared" ref="C12:F12" si="4">C11/C2</f>
        <v>0.10791077285555678</v>
      </c>
      <c r="D12" s="8">
        <f t="shared" si="4"/>
        <v>0.13965770787184678</v>
      </c>
      <c r="E12" s="8">
        <f t="shared" si="4"/>
        <v>0.15800540474311489</v>
      </c>
      <c r="F12" s="8">
        <f t="shared" si="4"/>
        <v>0.16772471154037133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2095F5-79CA-42C2-80D9-9AE2D355E225}">
  <dimension ref="A1:F13"/>
  <sheetViews>
    <sheetView workbookViewId="0">
      <selection activeCell="G5" sqref="G5"/>
    </sheetView>
  </sheetViews>
  <sheetFormatPr defaultRowHeight="14.5" x14ac:dyDescent="0.35"/>
  <sheetData>
    <row r="1" spans="1:6" x14ac:dyDescent="0.35">
      <c r="A1" t="s">
        <v>0</v>
      </c>
      <c r="B1" t="s">
        <v>17</v>
      </c>
      <c r="C1" t="s">
        <v>18</v>
      </c>
      <c r="D1" t="s">
        <v>19</v>
      </c>
      <c r="E1" t="s">
        <v>20</v>
      </c>
      <c r="F1" t="s">
        <v>21</v>
      </c>
    </row>
    <row r="2" spans="1:6" x14ac:dyDescent="0.35">
      <c r="A2" t="s">
        <v>6</v>
      </c>
    </row>
    <row r="3" spans="1:6" x14ac:dyDescent="0.35">
      <c r="A3" t="s">
        <v>7</v>
      </c>
    </row>
    <row r="4" spans="1:6" x14ac:dyDescent="0.35">
      <c r="A4" t="s">
        <v>8</v>
      </c>
    </row>
    <row r="5" spans="1:6" x14ac:dyDescent="0.35">
      <c r="A5" t="s">
        <v>9</v>
      </c>
    </row>
    <row r="6" spans="1:6" x14ac:dyDescent="0.35">
      <c r="A6" t="s">
        <v>10</v>
      </c>
    </row>
    <row r="7" spans="1:6" x14ac:dyDescent="0.35">
      <c r="A7" t="s">
        <v>11</v>
      </c>
    </row>
    <row r="8" spans="1:6" x14ac:dyDescent="0.35">
      <c r="A8" t="s">
        <v>14</v>
      </c>
    </row>
    <row r="9" spans="1:6" x14ac:dyDescent="0.35">
      <c r="A9" t="s">
        <v>13</v>
      </c>
    </row>
    <row r="10" spans="1:6" x14ac:dyDescent="0.35">
      <c r="A10" t="s">
        <v>22</v>
      </c>
    </row>
    <row r="11" spans="1:6" x14ac:dyDescent="0.35">
      <c r="A11" t="s">
        <v>23</v>
      </c>
    </row>
    <row r="12" spans="1:6" x14ac:dyDescent="0.35">
      <c r="A12" t="s">
        <v>24</v>
      </c>
    </row>
    <row r="13" spans="1:6" x14ac:dyDescent="0.35">
      <c r="A13" t="s">
        <v>25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A60EBC-8083-4456-B121-9DB07E3866D2}">
  <dimension ref="A1"/>
  <sheetViews>
    <sheetView workbookViewId="0"/>
  </sheetViews>
  <sheetFormatPr defaultRowHeight="14.5" x14ac:dyDescent="0.35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394838-33E4-44C6-B04A-2645A3556A9B}">
  <dimension ref="A1"/>
  <sheetViews>
    <sheetView workbookViewId="0"/>
  </sheetViews>
  <sheetFormatPr defaultRowHeight="14.5" x14ac:dyDescent="0.35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FB6CAA-755E-4048-8F46-C387A89B309E}">
  <dimension ref="A1"/>
  <sheetViews>
    <sheetView workbookViewId="0">
      <selection activeCell="H19" sqref="H19"/>
    </sheetView>
  </sheetViews>
  <sheetFormatPr defaultRowHeight="14.5" x14ac:dyDescent="0.3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Inputs</vt:lpstr>
      <vt:lpstr>Historicals</vt:lpstr>
      <vt:lpstr>Forecast</vt:lpstr>
      <vt:lpstr>DCF</vt:lpstr>
      <vt:lpstr>Comps</vt:lpstr>
      <vt:lpstr>Output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Piyush Madheshiya 173</dc:creator>
  <cp:lastModifiedBy>Piyush Madheshiya 173</cp:lastModifiedBy>
  <dcterms:created xsi:type="dcterms:W3CDTF">2026-09-25T12:56:47Z</dcterms:created>
  <dcterms:modified xsi:type="dcterms:W3CDTF">2026-09-25T14:26:49Z</dcterms:modified>
</cp:coreProperties>
</file>